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wambachilufya/Downloads/"/>
    </mc:Choice>
  </mc:AlternateContent>
  <xr:revisionPtr revIDLastSave="0" documentId="13_ncr:1_{5AE67569-223E-F745-B328-4C67D4A1B394}" xr6:coauthVersionLast="36" xr6:coauthVersionMax="36" xr10:uidLastSave="{00000000-0000-0000-0000-000000000000}"/>
  <bookViews>
    <workbookView xWindow="0" yWindow="500" windowWidth="25600" windowHeight="14320" activeTab="2" xr2:uid="{00000000-000D-0000-FFFF-FFFF00000000}"/>
  </bookViews>
  <sheets>
    <sheet name="Sentinel" sheetId="1" r:id="rId1"/>
    <sheet name="Kansanshi" sheetId="2" r:id="rId2"/>
    <sheet name="Total predictions and analysis" sheetId="30" r:id="rId3"/>
    <sheet name="General analysis " sheetId="8" r:id="rId4"/>
    <sheet name="Sentinel Predictions" sheetId="28" r:id="rId5"/>
    <sheet name="Kansanshi predictions" sheetId="29" r:id="rId6"/>
    <sheet name="Sentinel regression stats" sheetId="24" r:id="rId7"/>
    <sheet name="Sentinel regression data" sheetId="23" r:id="rId8"/>
    <sheet name="Kansanshi Regression Stats" sheetId="27" r:id="rId9"/>
    <sheet name="Kansanshi regression data" sheetId="25" r:id="rId10"/>
    <sheet name="Copper producton Sentinel" sheetId="12" r:id="rId11"/>
    <sheet name="Sentinel copper recovery%" sheetId="11" r:id="rId12"/>
    <sheet name="Sentinel Copper ore grade" sheetId="10" r:id="rId13"/>
    <sheet name="Copper ore processed sentinel" sheetId="9" r:id="rId14"/>
    <sheet name="Copper production Kansanshi" sheetId="22" r:id="rId15"/>
    <sheet name="Oxide copper recovery(%)" sheetId="21" r:id="rId16"/>
    <sheet name="Oxide ore grade processed(%)" sheetId="20" r:id="rId17"/>
    <sheet name="Oxide ore tonnes milled(000's)" sheetId="19" r:id="rId18"/>
    <sheet name="Mixed copper recovery(%)" sheetId="18" r:id="rId19"/>
    <sheet name="Mixed ore grade processed(%)" sheetId="17" r:id="rId20"/>
    <sheet name="Sulphide copper recovery(%)" sheetId="15" r:id="rId21"/>
    <sheet name="Mixed ore tonnes milled(000's)" sheetId="16" r:id="rId22"/>
    <sheet name="Sulphide ore grade processed(%)" sheetId="14" r:id="rId23"/>
    <sheet name="Sulphide ore Kansanshi" sheetId="13" r:id="rId24"/>
  </sheets>
  <calcPr calcId="181029"/>
</workbook>
</file>

<file path=xl/calcChain.xml><?xml version="1.0" encoding="utf-8"?>
<calcChain xmlns="http://schemas.openxmlformats.org/spreadsheetml/2006/main">
  <c r="E54" i="29" l="1"/>
  <c r="D31" i="30"/>
  <c r="D32" i="30"/>
  <c r="D33" i="30"/>
  <c r="D34" i="30"/>
  <c r="D35" i="30"/>
  <c r="D36" i="30"/>
  <c r="D37" i="30"/>
  <c r="D30" i="30"/>
  <c r="D18" i="30"/>
  <c r="D19" i="30"/>
  <c r="D20" i="30"/>
  <c r="D21" i="30"/>
  <c r="D22" i="30"/>
  <c r="D23" i="30"/>
  <c r="D24" i="30"/>
  <c r="D17" i="30"/>
  <c r="D5" i="30"/>
  <c r="D6" i="30"/>
  <c r="D7" i="30"/>
  <c r="D8" i="30"/>
  <c r="D9" i="30"/>
  <c r="D10" i="30"/>
  <c r="D11" i="30"/>
  <c r="D4" i="30"/>
  <c r="E55" i="29"/>
  <c r="E56" i="29"/>
  <c r="E57" i="29"/>
  <c r="E58" i="29"/>
  <c r="E59" i="29"/>
  <c r="E60" i="29"/>
  <c r="E45" i="29"/>
  <c r="E46" i="29"/>
  <c r="E47" i="29"/>
  <c r="E48" i="29"/>
  <c r="E49" i="29"/>
  <c r="E50" i="29"/>
  <c r="E44" i="29"/>
  <c r="E35" i="29"/>
  <c r="E36" i="29"/>
  <c r="E37" i="29"/>
  <c r="E38" i="29"/>
  <c r="E39" i="29"/>
  <c r="E40" i="29"/>
  <c r="E34" i="29"/>
  <c r="S25" i="29"/>
  <c r="S26" i="29"/>
  <c r="S27" i="29"/>
  <c r="S28" i="29"/>
  <c r="S29" i="29"/>
  <c r="S30" i="29"/>
  <c r="S24" i="29"/>
  <c r="S15" i="29"/>
  <c r="S16" i="29"/>
  <c r="S17" i="29"/>
  <c r="S18" i="29"/>
  <c r="S19" i="29"/>
  <c r="S20" i="29"/>
  <c r="S14" i="29"/>
  <c r="S5" i="29"/>
  <c r="S6" i="29"/>
  <c r="S7" i="29"/>
  <c r="S8" i="29"/>
  <c r="S9" i="29"/>
  <c r="S10" i="29"/>
  <c r="S4" i="29"/>
  <c r="L25" i="29"/>
  <c r="L26" i="29"/>
  <c r="L27" i="29"/>
  <c r="L28" i="29"/>
  <c r="L29" i="29"/>
  <c r="L30" i="29"/>
  <c r="L24" i="29"/>
  <c r="L15" i="29"/>
  <c r="L16" i="29"/>
  <c r="L17" i="29"/>
  <c r="L18" i="29"/>
  <c r="L19" i="29"/>
  <c r="L20" i="29"/>
  <c r="L14" i="29"/>
  <c r="L5" i="29"/>
  <c r="L6" i="29"/>
  <c r="L7" i="29"/>
  <c r="L8" i="29"/>
  <c r="L9" i="29"/>
  <c r="L10" i="29"/>
  <c r="L4" i="29"/>
  <c r="E25" i="29"/>
  <c r="E26" i="29"/>
  <c r="E27" i="29"/>
  <c r="E28" i="29"/>
  <c r="E29" i="29"/>
  <c r="E30" i="29"/>
  <c r="E24" i="29"/>
  <c r="E15" i="29"/>
  <c r="E16" i="29"/>
  <c r="E17" i="29"/>
  <c r="E18" i="29"/>
  <c r="E19" i="29"/>
  <c r="E20" i="29"/>
  <c r="E14" i="29"/>
  <c r="E5" i="29"/>
  <c r="E6" i="29"/>
  <c r="E7" i="29"/>
  <c r="E8" i="29"/>
  <c r="E9" i="29"/>
  <c r="E10" i="29"/>
  <c r="E4" i="29"/>
  <c r="G31" i="28"/>
  <c r="G26" i="28"/>
  <c r="G27" i="28"/>
  <c r="G28" i="28"/>
  <c r="G29" i="28"/>
  <c r="G30" i="28"/>
  <c r="G25" i="28"/>
  <c r="F31" i="28"/>
  <c r="F26" i="28"/>
  <c r="F27" i="28"/>
  <c r="F28" i="28"/>
  <c r="F29" i="28"/>
  <c r="F30" i="28"/>
  <c r="F25" i="28"/>
  <c r="E26" i="28"/>
  <c r="E27" i="28"/>
  <c r="E28" i="28"/>
  <c r="E29" i="28"/>
  <c r="E30" i="28"/>
  <c r="E31" i="28"/>
  <c r="E25" i="28"/>
  <c r="G15" i="28"/>
  <c r="G16" i="28"/>
  <c r="G17" i="28"/>
  <c r="G18" i="28"/>
  <c r="G19" i="28"/>
  <c r="G20" i="28"/>
  <c r="G14" i="28"/>
  <c r="F15" i="28"/>
  <c r="F16" i="28"/>
  <c r="F17" i="28"/>
  <c r="F18" i="28"/>
  <c r="F19" i="28"/>
  <c r="F20" i="28"/>
  <c r="F14" i="28"/>
  <c r="E20" i="28"/>
  <c r="E15" i="28"/>
  <c r="E16" i="28"/>
  <c r="E17" i="28"/>
  <c r="E18" i="28"/>
  <c r="E19" i="28"/>
  <c r="E14" i="28"/>
  <c r="E6" i="28"/>
  <c r="F6" i="28" s="1"/>
  <c r="G9" i="28"/>
  <c r="G4" i="28"/>
  <c r="G5" i="28"/>
  <c r="G7" i="28"/>
  <c r="G8" i="28"/>
  <c r="F7" i="28"/>
  <c r="F8" i="28"/>
  <c r="F9" i="28"/>
  <c r="F4" i="28"/>
  <c r="F5" i="28"/>
  <c r="G3" i="28"/>
  <c r="F3" i="28"/>
  <c r="E4" i="28"/>
  <c r="E5" i="28"/>
  <c r="E7" i="28"/>
  <c r="E8" i="28"/>
  <c r="E9" i="28"/>
  <c r="E3" i="28"/>
  <c r="E6" i="8"/>
  <c r="H7" i="22"/>
  <c r="H8" i="22"/>
  <c r="H9" i="22"/>
  <c r="H10" i="22"/>
  <c r="H11" i="22"/>
  <c r="H6" i="22"/>
  <c r="G5" i="22"/>
  <c r="G6" i="22"/>
  <c r="G7" i="22"/>
  <c r="G8" i="22"/>
  <c r="G9" i="22"/>
  <c r="G10" i="22"/>
  <c r="G11" i="22"/>
  <c r="G4" i="22"/>
  <c r="F11" i="22"/>
  <c r="F10" i="22"/>
  <c r="F9" i="22"/>
  <c r="F8" i="22"/>
  <c r="F7" i="22"/>
  <c r="F6" i="22"/>
  <c r="F5" i="22"/>
  <c r="F4" i="22"/>
  <c r="F3" i="22"/>
  <c r="F2" i="22"/>
  <c r="C4" i="22"/>
  <c r="C5" i="22"/>
  <c r="C6" i="22"/>
  <c r="C7" i="22"/>
  <c r="C8" i="22"/>
  <c r="C9" i="22"/>
  <c r="C10" i="22"/>
  <c r="C11" i="22"/>
  <c r="C3" i="22"/>
  <c r="H7" i="21"/>
  <c r="H8" i="21"/>
  <c r="H9" i="21"/>
  <c r="H10" i="21"/>
  <c r="H11" i="21"/>
  <c r="H6" i="21"/>
  <c r="G5" i="21"/>
  <c r="G6" i="21"/>
  <c r="G7" i="21"/>
  <c r="G8" i="21"/>
  <c r="G9" i="21"/>
  <c r="G10" i="21"/>
  <c r="G11" i="21"/>
  <c r="G4" i="21"/>
  <c r="F11" i="21"/>
  <c r="F10" i="21"/>
  <c r="F9" i="21"/>
  <c r="F8" i="21"/>
  <c r="F7" i="21"/>
  <c r="F6" i="21"/>
  <c r="F5" i="21"/>
  <c r="F4" i="21"/>
  <c r="F3" i="21"/>
  <c r="F2" i="21"/>
  <c r="C4" i="21"/>
  <c r="C5" i="21"/>
  <c r="C6" i="21"/>
  <c r="C7" i="21"/>
  <c r="C8" i="21"/>
  <c r="C9" i="21"/>
  <c r="C10" i="21"/>
  <c r="C11" i="21"/>
  <c r="C3" i="21"/>
  <c r="H7" i="20"/>
  <c r="H8" i="20"/>
  <c r="H9" i="20"/>
  <c r="H10" i="20"/>
  <c r="H11" i="20"/>
  <c r="H6" i="20"/>
  <c r="G5" i="20"/>
  <c r="G6" i="20"/>
  <c r="G7" i="20"/>
  <c r="G8" i="20"/>
  <c r="G9" i="20"/>
  <c r="G10" i="20"/>
  <c r="G11" i="20"/>
  <c r="G4" i="20"/>
  <c r="F11" i="20"/>
  <c r="F10" i="20"/>
  <c r="F9" i="20"/>
  <c r="F8" i="20"/>
  <c r="F7" i="20"/>
  <c r="F6" i="20"/>
  <c r="F5" i="20"/>
  <c r="F4" i="20"/>
  <c r="F3" i="20"/>
  <c r="F2" i="20"/>
  <c r="C4" i="20"/>
  <c r="C5" i="20"/>
  <c r="C6" i="20"/>
  <c r="C7" i="20"/>
  <c r="C8" i="20"/>
  <c r="C9" i="20"/>
  <c r="C10" i="20"/>
  <c r="C11" i="20"/>
  <c r="C3" i="20"/>
  <c r="H7" i="19"/>
  <c r="H8" i="19"/>
  <c r="H9" i="19"/>
  <c r="H10" i="19"/>
  <c r="H11" i="19"/>
  <c r="H6" i="19"/>
  <c r="G5" i="19"/>
  <c r="G6" i="19"/>
  <c r="G7" i="19"/>
  <c r="G8" i="19"/>
  <c r="G9" i="19"/>
  <c r="G10" i="19"/>
  <c r="G11" i="19"/>
  <c r="G4" i="19"/>
  <c r="F11" i="19"/>
  <c r="F10" i="19"/>
  <c r="F9" i="19"/>
  <c r="F8" i="19"/>
  <c r="F7" i="19"/>
  <c r="F6" i="19"/>
  <c r="F5" i="19"/>
  <c r="F4" i="19"/>
  <c r="F3" i="19"/>
  <c r="F2" i="19"/>
  <c r="C4" i="19"/>
  <c r="C5" i="19"/>
  <c r="C6" i="19"/>
  <c r="C7" i="19"/>
  <c r="C8" i="19"/>
  <c r="C9" i="19"/>
  <c r="C10" i="19"/>
  <c r="C11" i="19"/>
  <c r="C3" i="19"/>
  <c r="H7" i="18"/>
  <c r="H8" i="18"/>
  <c r="H9" i="18"/>
  <c r="H10" i="18"/>
  <c r="H11" i="18"/>
  <c r="H6" i="18"/>
  <c r="G5" i="18"/>
  <c r="G6" i="18"/>
  <c r="G7" i="18"/>
  <c r="G8" i="18"/>
  <c r="G9" i="18"/>
  <c r="G10" i="18"/>
  <c r="G11" i="18"/>
  <c r="G4" i="18"/>
  <c r="F11" i="18"/>
  <c r="F10" i="18"/>
  <c r="F9" i="18"/>
  <c r="F8" i="18"/>
  <c r="F7" i="18"/>
  <c r="F6" i="18"/>
  <c r="F5" i="18"/>
  <c r="F4" i="18"/>
  <c r="F3" i="18"/>
  <c r="F2" i="18"/>
  <c r="F11" i="17"/>
  <c r="F10" i="17"/>
  <c r="F9" i="17"/>
  <c r="F8" i="17"/>
  <c r="F7" i="17"/>
  <c r="F6" i="17"/>
  <c r="F5" i="17"/>
  <c r="F4" i="17"/>
  <c r="F3" i="17"/>
  <c r="F2" i="17"/>
  <c r="F11" i="16"/>
  <c r="F10" i="16"/>
  <c r="F9" i="16"/>
  <c r="F8" i="16"/>
  <c r="F7" i="16"/>
  <c r="F6" i="16"/>
  <c r="F5" i="16"/>
  <c r="F4" i="16"/>
  <c r="F3" i="16"/>
  <c r="F2" i="16"/>
  <c r="C4" i="18"/>
  <c r="C5" i="18"/>
  <c r="C6" i="18"/>
  <c r="C7" i="18"/>
  <c r="C8" i="18"/>
  <c r="C9" i="18"/>
  <c r="C10" i="18"/>
  <c r="C11" i="18"/>
  <c r="C3" i="18"/>
  <c r="H7" i="17"/>
  <c r="H8" i="17"/>
  <c r="H9" i="17"/>
  <c r="H10" i="17"/>
  <c r="H11" i="17"/>
  <c r="H6" i="17"/>
  <c r="G5" i="17"/>
  <c r="G6" i="17"/>
  <c r="G7" i="17"/>
  <c r="G8" i="17"/>
  <c r="G9" i="17"/>
  <c r="G10" i="17"/>
  <c r="G11" i="17"/>
  <c r="G4" i="17"/>
  <c r="C4" i="17"/>
  <c r="C5" i="17"/>
  <c r="C6" i="17"/>
  <c r="C7" i="17"/>
  <c r="C8" i="17"/>
  <c r="C9" i="17"/>
  <c r="C10" i="17"/>
  <c r="C11" i="17"/>
  <c r="C3" i="17"/>
  <c r="H7" i="16"/>
  <c r="H8" i="16"/>
  <c r="H9" i="16"/>
  <c r="H10" i="16"/>
  <c r="H11" i="16"/>
  <c r="H6" i="16"/>
  <c r="G5" i="16"/>
  <c r="G6" i="16"/>
  <c r="G7" i="16"/>
  <c r="G8" i="16"/>
  <c r="G9" i="16"/>
  <c r="G10" i="16"/>
  <c r="G11" i="16"/>
  <c r="G4" i="16"/>
  <c r="C4" i="16"/>
  <c r="C5" i="16"/>
  <c r="C6" i="16"/>
  <c r="C7" i="16"/>
  <c r="C8" i="16"/>
  <c r="C9" i="16"/>
  <c r="C10" i="16"/>
  <c r="C11" i="16"/>
  <c r="C3" i="16"/>
  <c r="H7" i="15"/>
  <c r="H8" i="15"/>
  <c r="H9" i="15"/>
  <c r="H10" i="15"/>
  <c r="H11" i="15"/>
  <c r="H6" i="15"/>
  <c r="G5" i="15"/>
  <c r="G6" i="15"/>
  <c r="G7" i="15"/>
  <c r="G8" i="15"/>
  <c r="G9" i="15"/>
  <c r="G10" i="15"/>
  <c r="G11" i="15"/>
  <c r="G4" i="15"/>
  <c r="F11" i="15"/>
  <c r="F10" i="15"/>
  <c r="F9" i="15"/>
  <c r="F8" i="15"/>
  <c r="F7" i="15"/>
  <c r="F6" i="15"/>
  <c r="F5" i="15"/>
  <c r="F4" i="15"/>
  <c r="F3" i="15"/>
  <c r="F2" i="15"/>
  <c r="C4" i="15"/>
  <c r="C5" i="15"/>
  <c r="C6" i="15"/>
  <c r="C7" i="15"/>
  <c r="C8" i="15"/>
  <c r="C9" i="15"/>
  <c r="C10" i="15"/>
  <c r="C11" i="15"/>
  <c r="C3" i="15"/>
  <c r="H7" i="14"/>
  <c r="H8" i="14"/>
  <c r="H9" i="14"/>
  <c r="H10" i="14"/>
  <c r="H11" i="14"/>
  <c r="H6" i="14"/>
  <c r="G5" i="14"/>
  <c r="G6" i="14"/>
  <c r="G7" i="14"/>
  <c r="G8" i="14"/>
  <c r="G9" i="14"/>
  <c r="G10" i="14"/>
  <c r="G11" i="14"/>
  <c r="G4" i="14"/>
  <c r="F11" i="14"/>
  <c r="F10" i="14"/>
  <c r="F9" i="14"/>
  <c r="F8" i="14"/>
  <c r="F7" i="14"/>
  <c r="F6" i="14"/>
  <c r="F5" i="14"/>
  <c r="F4" i="14"/>
  <c r="F3" i="14"/>
  <c r="F2" i="14"/>
  <c r="C4" i="14"/>
  <c r="C5" i="14"/>
  <c r="C6" i="14"/>
  <c r="C7" i="14"/>
  <c r="C8" i="14"/>
  <c r="C9" i="14"/>
  <c r="C10" i="14"/>
  <c r="C11" i="14"/>
  <c r="C3" i="14"/>
  <c r="H7" i="13"/>
  <c r="H8" i="13"/>
  <c r="H9" i="13"/>
  <c r="H10" i="13"/>
  <c r="H11" i="13"/>
  <c r="H6" i="13"/>
  <c r="G5" i="13"/>
  <c r="G6" i="13"/>
  <c r="G7" i="13"/>
  <c r="G8" i="13"/>
  <c r="G9" i="13"/>
  <c r="G10" i="13"/>
  <c r="G11" i="13"/>
  <c r="G4" i="13"/>
  <c r="F11" i="13"/>
  <c r="F10" i="13"/>
  <c r="F9" i="13"/>
  <c r="F8" i="13"/>
  <c r="F7" i="13"/>
  <c r="F6" i="13"/>
  <c r="F5" i="13"/>
  <c r="F4" i="13"/>
  <c r="F3" i="13"/>
  <c r="F2" i="13"/>
  <c r="C4" i="13"/>
  <c r="C5" i="13"/>
  <c r="C6" i="13"/>
  <c r="C7" i="13"/>
  <c r="C8" i="13"/>
  <c r="C9" i="13"/>
  <c r="C10" i="13"/>
  <c r="C11" i="13"/>
  <c r="C3" i="13"/>
  <c r="H7" i="12"/>
  <c r="H8" i="12"/>
  <c r="H9" i="12"/>
  <c r="H10" i="12"/>
  <c r="H11" i="12"/>
  <c r="H6" i="12"/>
  <c r="G5" i="12"/>
  <c r="G6" i="12"/>
  <c r="G7" i="12"/>
  <c r="G8" i="12"/>
  <c r="G9" i="12"/>
  <c r="G10" i="12"/>
  <c r="G11" i="12"/>
  <c r="G4" i="12"/>
  <c r="F4" i="12"/>
  <c r="F5" i="12"/>
  <c r="F6" i="12"/>
  <c r="F7" i="12"/>
  <c r="F8" i="12"/>
  <c r="F9" i="12"/>
  <c r="F10" i="12"/>
  <c r="F11" i="12"/>
  <c r="F3" i="12"/>
  <c r="E11" i="12"/>
  <c r="E10" i="12"/>
  <c r="E9" i="12"/>
  <c r="E8" i="12"/>
  <c r="E7" i="12"/>
  <c r="E6" i="12"/>
  <c r="E5" i="12"/>
  <c r="E4" i="12"/>
  <c r="E3" i="12"/>
  <c r="E2" i="12"/>
  <c r="D11" i="9"/>
  <c r="D10" i="9"/>
  <c r="D9" i="9"/>
  <c r="D8" i="9"/>
  <c r="D7" i="9"/>
  <c r="D6" i="9"/>
  <c r="D5" i="9"/>
  <c r="D4" i="9"/>
  <c r="D3" i="9"/>
  <c r="D2" i="9"/>
  <c r="C11" i="10"/>
  <c r="C10" i="10"/>
  <c r="C9" i="10"/>
  <c r="C8" i="10"/>
  <c r="C7" i="10"/>
  <c r="C6" i="10"/>
  <c r="C5" i="10"/>
  <c r="C4" i="10"/>
  <c r="C3" i="10"/>
  <c r="C2" i="10"/>
  <c r="H7" i="11"/>
  <c r="H8" i="11"/>
  <c r="H9" i="11"/>
  <c r="H10" i="11"/>
  <c r="H11" i="11"/>
  <c r="H6" i="11"/>
  <c r="G5" i="11"/>
  <c r="G6" i="11"/>
  <c r="G7" i="11"/>
  <c r="G8" i="11"/>
  <c r="G9" i="11"/>
  <c r="G10" i="11"/>
  <c r="G11" i="11"/>
  <c r="G4" i="11"/>
  <c r="F4" i="11"/>
  <c r="F5" i="11"/>
  <c r="F6" i="11"/>
  <c r="F7" i="11"/>
  <c r="F8" i="11"/>
  <c r="F9" i="11"/>
  <c r="F10" i="11"/>
  <c r="F11" i="11"/>
  <c r="F3" i="11"/>
  <c r="E11" i="11"/>
  <c r="E10" i="11"/>
  <c r="E9" i="11"/>
  <c r="E8" i="11"/>
  <c r="E7" i="11"/>
  <c r="E6" i="11"/>
  <c r="E5" i="11"/>
  <c r="E4" i="11"/>
  <c r="E3" i="11"/>
  <c r="E2" i="11"/>
  <c r="H7" i="10"/>
  <c r="H8" i="10"/>
  <c r="H9" i="10"/>
  <c r="H10" i="10"/>
  <c r="H11" i="10"/>
  <c r="H6" i="10"/>
  <c r="G6" i="10"/>
  <c r="G7" i="10"/>
  <c r="G8" i="10"/>
  <c r="G9" i="10"/>
  <c r="G10" i="10"/>
  <c r="G11" i="10"/>
  <c r="G5" i="10"/>
  <c r="G4" i="10"/>
  <c r="F5" i="10"/>
  <c r="F6" i="10"/>
  <c r="F7" i="10"/>
  <c r="F8" i="10"/>
  <c r="F9" i="10"/>
  <c r="F10" i="10"/>
  <c r="F11" i="10"/>
  <c r="F4" i="10"/>
  <c r="F3" i="10"/>
  <c r="H9" i="9"/>
  <c r="H10" i="9"/>
  <c r="H8" i="9"/>
  <c r="H7" i="9"/>
  <c r="H6" i="9"/>
  <c r="G6" i="9"/>
  <c r="G7" i="9"/>
  <c r="G8" i="9"/>
  <c r="G9" i="9"/>
  <c r="G10" i="9"/>
  <c r="G5" i="9"/>
  <c r="G4" i="9"/>
  <c r="C11" i="9"/>
  <c r="C10" i="9"/>
  <c r="C9" i="9"/>
  <c r="C8" i="9"/>
  <c r="C7" i="9"/>
  <c r="C6" i="9"/>
  <c r="C5" i="9"/>
  <c r="C4" i="9"/>
  <c r="C3" i="9"/>
  <c r="C17" i="8"/>
  <c r="C18" i="8"/>
  <c r="C19" i="8"/>
  <c r="C20" i="8"/>
  <c r="C21" i="8"/>
  <c r="C22" i="8"/>
  <c r="C23" i="8"/>
  <c r="C24" i="8"/>
  <c r="C25" i="8"/>
  <c r="C16" i="8"/>
  <c r="B17" i="8"/>
  <c r="B18" i="8"/>
  <c r="B19" i="8"/>
  <c r="B20" i="8"/>
  <c r="B21" i="8"/>
  <c r="B22" i="8"/>
  <c r="B23" i="8"/>
  <c r="B24" i="8"/>
  <c r="B25" i="8"/>
  <c r="B16" i="8"/>
  <c r="H4" i="8"/>
  <c r="H5" i="8"/>
  <c r="H6" i="8"/>
  <c r="H7" i="8"/>
  <c r="H8" i="8"/>
  <c r="H9" i="8"/>
  <c r="H10" i="8"/>
  <c r="H11" i="8"/>
  <c r="H12" i="8"/>
  <c r="H3" i="8"/>
  <c r="G4" i="8"/>
  <c r="G5" i="8"/>
  <c r="G6" i="8"/>
  <c r="G7" i="8"/>
  <c r="G8" i="8"/>
  <c r="G9" i="8"/>
  <c r="G10" i="8"/>
  <c r="G11" i="8"/>
  <c r="G12" i="8"/>
  <c r="F4" i="8"/>
  <c r="F5" i="8"/>
  <c r="F6" i="8"/>
  <c r="F7" i="8"/>
  <c r="F8" i="8"/>
  <c r="F9" i="8"/>
  <c r="F10" i="8"/>
  <c r="F11" i="8"/>
  <c r="F12" i="8"/>
  <c r="F3" i="8"/>
  <c r="G3" i="8" s="1"/>
  <c r="E4" i="8"/>
  <c r="E12" i="8"/>
  <c r="E11" i="8"/>
  <c r="E10" i="8"/>
  <c r="E9" i="8"/>
  <c r="E8" i="8"/>
  <c r="E7" i="8"/>
  <c r="E5" i="8"/>
  <c r="E3" i="8"/>
  <c r="G6" i="28" l="1"/>
</calcChain>
</file>

<file path=xl/sharedStrings.xml><?xml version="1.0" encoding="utf-8"?>
<sst xmlns="http://schemas.openxmlformats.org/spreadsheetml/2006/main" count="665" uniqueCount="145">
  <si>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</si>
  <si>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</si>
  <si>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</si>
  <si>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</si>
  <si>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</si>
  <si>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</si>
  <si>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</si>
  <si>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</si>
  <si>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</si>
  <si>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</si>
  <si>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MINE</t>
  </si>
  <si>
    <t>SENTINEL FQM</t>
  </si>
  <si>
    <t>YEAR</t>
  </si>
  <si>
    <t xml:space="preserve">Copper ore processed (000’s tonnes) </t>
  </si>
  <si>
    <t xml:space="preserve">Copper ore grade processed (%) </t>
  </si>
  <si>
    <t>Copper recovery (%)</t>
  </si>
  <si>
    <t xml:space="preserve">Copper production (tonnes) </t>
  </si>
  <si>
    <t>Sulphide ore tonnes milled(000's)</t>
  </si>
  <si>
    <t>Sulphide ore grade processed(%)</t>
  </si>
  <si>
    <t>Sulphide copper recovery(%)</t>
  </si>
  <si>
    <t>Mixed ore tonnes milled(000's)</t>
  </si>
  <si>
    <t>Mixed ore grade processed(%)</t>
  </si>
  <si>
    <t>Mixed copper recovery(%)</t>
  </si>
  <si>
    <t>Oxide ore tonnes milled(000's)</t>
  </si>
  <si>
    <t>Oxide ore grade processed(%)</t>
  </si>
  <si>
    <t>Oxide copper recovery(%)</t>
  </si>
  <si>
    <t>Copper production (tonnes)</t>
  </si>
  <si>
    <t>COPPER SMELTER</t>
  </si>
  <si>
    <t>Concentrate processed(DMT)</t>
  </si>
  <si>
    <t>Copper anodes produced(tonnes)</t>
  </si>
  <si>
    <t>Smelter copper recovery(%)</t>
  </si>
  <si>
    <t>Acid tonnes produced(000's)</t>
  </si>
  <si>
    <t>KANSANSHI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</si>
  <si>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</si>
  <si>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</si>
  <si>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</si>
  <si>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</si>
  <si>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</si>
  <si>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</si>
  <si>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</si>
  <si>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</si>
  <si>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</si>
  <si>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</si>
  <si>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</si>
  <si>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</si>
  <si>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</si>
  <si>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Zscore for copper production(000's tonnes)</t>
  </si>
  <si>
    <t>Zscore for ore grade processed(%)</t>
  </si>
  <si>
    <t>Z Score for Sulphide ore tonnes milled(000's)</t>
  </si>
  <si>
    <t>Z score for Sulphide ore grade processed(%)</t>
  </si>
  <si>
    <t>Z score for Sulphide copper recovery(%)</t>
  </si>
  <si>
    <t>Z score for Mixed ore tonnes milled(000's)</t>
  </si>
  <si>
    <t>Z score for Mixed ore grade processed(%)</t>
  </si>
  <si>
    <t>Z score for Mixed copper recovery(%)</t>
  </si>
  <si>
    <t>Z score for Oxide ore tonnes milled(000's)</t>
  </si>
  <si>
    <t>Z score for Oxide ore grade processed(%)</t>
  </si>
  <si>
    <t>Z score for Oxide copper recovery(%)</t>
  </si>
  <si>
    <t>Z score for Copper production (tonnes)</t>
  </si>
  <si>
    <t>Zambias total production.(copper production tonnes)</t>
  </si>
  <si>
    <t>Kansanshi Copper production (tonnes)</t>
  </si>
  <si>
    <t>Sentinel Copper production (tonnes)</t>
  </si>
  <si>
    <t>Total production of kansanshi and sentinel</t>
  </si>
  <si>
    <t>FQM CONTRIBUTION TO ZAMBIA TOTAL PRODUCTION(%)</t>
  </si>
  <si>
    <t>PERCENTAGE CONTRIBUTION OF KANSANSHI</t>
  </si>
  <si>
    <t>PERCENTAGE CONTRIBUTION OF SENTINEL</t>
  </si>
  <si>
    <t>SENTINEL PERCENTAGE CONTRIBUTION TO ZAMBIA</t>
  </si>
  <si>
    <t>KANSANSHI PERCENTAGE CONTRIBUTION TO ZAMBIA</t>
  </si>
  <si>
    <t>SENTINEL PERCENTAGE CONTRIBUTION TO ZAMBIA(%)</t>
  </si>
  <si>
    <t>KANSANSHI PERCENTAGE CONTRIBUTION TO ZAMBIA(%)</t>
  </si>
  <si>
    <t>Year on year growth rates</t>
  </si>
  <si>
    <t xml:space="preserve">Moving averages 3 years </t>
  </si>
  <si>
    <t>Moving averages 5 years</t>
  </si>
  <si>
    <t>Moving averages 3 years</t>
  </si>
  <si>
    <t>Z SCORE FOR COPPER RECOVERY(%)</t>
  </si>
  <si>
    <t>Year on Year growth rate</t>
  </si>
  <si>
    <t>Moving averages for 3 years</t>
  </si>
  <si>
    <t>Moving averages for 5 years</t>
  </si>
  <si>
    <t>Z score for Copper production</t>
  </si>
  <si>
    <t>Year on year growth rate</t>
  </si>
  <si>
    <t>Year on year growth</t>
  </si>
  <si>
    <t xml:space="preserve">Moving averages for 3 years </t>
  </si>
  <si>
    <t>Moving averages for 5 years.</t>
  </si>
  <si>
    <t xml:space="preserve">Moving averages for 5 years </t>
  </si>
  <si>
    <t>Moving averages for 5years</t>
  </si>
  <si>
    <t xml:space="preserve">Year on year growth rate 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</si>
  <si>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</si>
  <si>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</si>
  <si>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</si>
  <si>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</si>
  <si>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</si>
  <si>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</si>
  <si>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</si>
  <si>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</si>
  <si>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</si>
  <si>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</si>
  <si>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</si>
  <si>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</si>
  <si>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</si>
  <si>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</si>
  <si>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</si>
  <si>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</si>
  <si>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</si>
  <si>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</si>
  <si>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</si>
  <si>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</si>
  <si>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</si>
  <si>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</si>
  <si>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</si>
  <si>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</si>
  <si>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</si>
  <si>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 xml:space="preserve">Predicted Copper production (tonnes) </t>
  </si>
  <si>
    <t>Residuals</t>
  </si>
  <si>
    <t>Predicted Copper production (tonnes)</t>
  </si>
  <si>
    <t>Predicted Copper production</t>
  </si>
  <si>
    <t>Lower Bound</t>
  </si>
  <si>
    <t>Upper Bound</t>
  </si>
  <si>
    <t>PESSIMISTIC PREDICTION</t>
  </si>
  <si>
    <t>OPTIMISTIC PREDICTION</t>
  </si>
  <si>
    <t>Year</t>
  </si>
  <si>
    <t>Predicted Production</t>
  </si>
  <si>
    <t>Predicted Producton</t>
  </si>
  <si>
    <t>PREDICTED PRODUCTION</t>
  </si>
  <si>
    <t>Predicted production</t>
  </si>
  <si>
    <t>Oxide ore predicted copper production</t>
  </si>
  <si>
    <t>Mixed Ore predicted copper production</t>
  </si>
  <si>
    <t>Sulphide ore predicted copper production</t>
  </si>
  <si>
    <t>Kansanshi total predited copper production</t>
  </si>
  <si>
    <t>SENTINEL</t>
  </si>
  <si>
    <t>FQM TOTAL</t>
  </si>
  <si>
    <t>PESSIMISTIC SCENARIO</t>
  </si>
  <si>
    <t>BEST CASE SCENARIO</t>
  </si>
  <si>
    <t>OPTIMISTIC SCENARIO</t>
  </si>
  <si>
    <t>BEST CASE PREDICTION</t>
  </si>
  <si>
    <t>OXIDE ORE PESSIMISTIC PREDICTION</t>
  </si>
  <si>
    <t>OXIDE ORE BEST CASE PREDICTION</t>
  </si>
  <si>
    <t>OXIDE ORE OPTIMISTIC PREDICTION</t>
  </si>
  <si>
    <t>MIXED ORE PESSIMISTIC PREDICTION</t>
  </si>
  <si>
    <t>MIXED ORE BEST CASE PREDICTION</t>
  </si>
  <si>
    <t>MIXED ORE OPTIMISTIC PREDICTION</t>
  </si>
  <si>
    <t>SULPHIDE ORE PESSIMISTIC PREDICTION</t>
  </si>
  <si>
    <t>SULPHIDE ORE BEST CASE PREDICTION</t>
  </si>
  <si>
    <t>SULPHIDE ORE OPTIMISTIC PREDICTION</t>
  </si>
  <si>
    <t>TOTAL KANSANSHI PRODUCTION PESSIMISTIC PREDICTION</t>
  </si>
  <si>
    <t>TOTAL KANSANSHI PREDICTION BEST CASE SCENARIO</t>
  </si>
  <si>
    <t>Total KANSANSHI PREDICTION OPTIMISTIC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</si>
</sst>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(Body)_x0000_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0" fillId="0" borderId="0" xfId="0" applyNumberFormat="1"/>
    <xf numFmtId="3" fontId="3" fillId="0" borderId="0" xfId="0" applyNumberFormat="1" applyFont="1"/>
    <xf numFmtId="0" fontId="1" fillId="0" borderId="0" xfId="0" applyFont="1"/>
    <xf numFmtId="0" fontId="0" fillId="0" borderId="0" xfId="0" applyFill="1" applyBorder="1" applyAlignment="1"/>
    <xf numFmtId="0" fontId="0" fillId="0" borderId="4" xfId="0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Continuous"/>
    </xf>
    <xf numFmtId="0" fontId="1" fillId="0" borderId="6" xfId="0" applyFont="1" applyFill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9" fontId="0" fillId="0" borderId="0" xfId="1" applyFont="1"/>
    <xf numFmtId="0" fontId="8" fillId="0" borderId="0" xfId="0" applyFont="1"/>
    <xf numFmtId="10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1" applyNumberFormat="1" applyFont="1"/>
    <xf numFmtId="0" fontId="5" fillId="0" borderId="0" xfId="0" applyFont="1" applyFill="1" applyBorder="1" applyAlignment="1">
      <alignment horizontal="centerContinuous"/>
    </xf>
    <xf numFmtId="0" fontId="9" fillId="0" borderId="0" xfId="0" applyFont="1"/>
    <xf numFmtId="3" fontId="9" fillId="0" borderId="0" xfId="0" applyNumberFormat="1" applyFont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Copper recovery (%)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'Sentinel regression data'!$C$2:$C$11</c:f>
              <c:numCache>
                <c:formatCode>General</c:formatCode>
                <c:ptCount val="10"/>
                <c:pt idx="0">
                  <c:v>41</c:v>
                </c:pt>
                <c:pt idx="1">
                  <c:v>68</c:v>
                </c:pt>
                <c:pt idx="2">
                  <c:v>87</c:v>
                </c:pt>
                <c:pt idx="3">
                  <c:v>91</c:v>
                </c:pt>
                <c:pt idx="4">
                  <c:v>91</c:v>
                </c:pt>
                <c:pt idx="5">
                  <c:v>90</c:v>
                </c:pt>
                <c:pt idx="6">
                  <c:v>89</c:v>
                </c:pt>
                <c:pt idx="7">
                  <c:v>90</c:v>
                </c:pt>
                <c:pt idx="8">
                  <c:v>90</c:v>
                </c:pt>
                <c:pt idx="9">
                  <c:v>88</c:v>
                </c:pt>
              </c:numCache>
            </c:numRef>
          </c:xVal>
          <c:yVal>
            <c:numRef>
              <c:f>'Sentinel regression stats'!$C$27:$C$36</c:f>
              <c:numCache>
                <c:formatCode>General</c:formatCode>
                <c:ptCount val="10"/>
                <c:pt idx="0">
                  <c:v>2951.2726856202498</c:v>
                </c:pt>
                <c:pt idx="1">
                  <c:v>-6620.9448485872126</c:v>
                </c:pt>
                <c:pt idx="2">
                  <c:v>-1846.4658709983632</c:v>
                </c:pt>
                <c:pt idx="3">
                  <c:v>3627.5189460490074</c:v>
                </c:pt>
                <c:pt idx="4">
                  <c:v>-353.8826861793641</c:v>
                </c:pt>
                <c:pt idx="5">
                  <c:v>9370.7165413125185</c:v>
                </c:pt>
                <c:pt idx="6">
                  <c:v>-5647.9431440836051</c:v>
                </c:pt>
                <c:pt idx="7">
                  <c:v>-4044.645008374122</c:v>
                </c:pt>
                <c:pt idx="8">
                  <c:v>-5190.3276599970413</c:v>
                </c:pt>
                <c:pt idx="9">
                  <c:v>7754.7010452379182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12-F74F-A201-9E1A3E6AC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531456"/>
        <c:axId val="883611664"/>
      </c:scatterChart>
      <c:valAx>
        <c:axId val="88353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recovery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3611664"/>
        <c:crosses val="autoZero"/>
        <c:crossBetween val="midCat"/>
      </c:valAx>
      <c:valAx>
        <c:axId val="883611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35314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Copper ore grade processed (%)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strRef>
              <c:f>'Sentinel regression stats'!$D$2:$D$11</c:f>
              <c:strCache>
                <c:ptCount val="10"/>
                <c:pt idx="9">
                  <c:v>MS</c:v>
                </c:pt>
              </c:strCache>
            </c:strRef>
          </c:xVal>
          <c:yVal>
            <c:numRef>
              <c:f>'Sentinel regression stats'!$C$27:$C$36</c:f>
              <c:numCache>
                <c:formatCode>General</c:formatCode>
                <c:ptCount val="10"/>
                <c:pt idx="0">
                  <c:v>2951.2726856202498</c:v>
                </c:pt>
                <c:pt idx="1">
                  <c:v>-6620.9448485872126</c:v>
                </c:pt>
                <c:pt idx="2">
                  <c:v>-1846.4658709983632</c:v>
                </c:pt>
                <c:pt idx="3">
                  <c:v>3627.5189460490074</c:v>
                </c:pt>
                <c:pt idx="4">
                  <c:v>-353.8826861793641</c:v>
                </c:pt>
                <c:pt idx="5">
                  <c:v>9370.7165413125185</c:v>
                </c:pt>
                <c:pt idx="6">
                  <c:v>-5647.9431440836051</c:v>
                </c:pt>
                <c:pt idx="7">
                  <c:v>-4044.645008374122</c:v>
                </c:pt>
                <c:pt idx="8">
                  <c:v>-5190.3276599970413</c:v>
                </c:pt>
                <c:pt idx="9">
                  <c:v>7754.7010452379182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7-DC44-92F9-453376423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887616"/>
        <c:axId val="815889296"/>
      </c:scatterChart>
      <c:valAx>
        <c:axId val="81588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ore grade processed (%) </a:t>
                </a:r>
              </a:p>
            </c:rich>
          </c:tx>
          <c:overlay val="0"/>
        </c:title>
        <c:majorTickMark val="out"/>
        <c:minorTickMark val="none"/>
        <c:tickLblPos val="nextTo"/>
        <c:crossAx val="815889296"/>
        <c:crosses val="autoZero"/>
        <c:crossBetween val="midCat"/>
      </c:valAx>
      <c:valAx>
        <c:axId val="815889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58876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Copper ore processed (000’s tonnes)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strRef>
              <c:f>'Sentinel regression stats'!$E$2:$E$11</c:f>
              <c:strCache>
                <c:ptCount val="10"/>
                <c:pt idx="9">
                  <c:v>F</c:v>
                </c:pt>
              </c:strCache>
            </c:strRef>
          </c:xVal>
          <c:yVal>
            <c:numRef>
              <c:f>'Sentinel regression stats'!$C$27:$C$36</c:f>
              <c:numCache>
                <c:formatCode>General</c:formatCode>
                <c:ptCount val="10"/>
                <c:pt idx="0">
                  <c:v>2951.2726856202498</c:v>
                </c:pt>
                <c:pt idx="1">
                  <c:v>-6620.9448485872126</c:v>
                </c:pt>
                <c:pt idx="2">
                  <c:v>-1846.4658709983632</c:v>
                </c:pt>
                <c:pt idx="3">
                  <c:v>3627.5189460490074</c:v>
                </c:pt>
                <c:pt idx="4">
                  <c:v>-353.8826861793641</c:v>
                </c:pt>
                <c:pt idx="5">
                  <c:v>9370.7165413125185</c:v>
                </c:pt>
                <c:pt idx="6">
                  <c:v>-5647.9431440836051</c:v>
                </c:pt>
                <c:pt idx="7">
                  <c:v>-4044.645008374122</c:v>
                </c:pt>
                <c:pt idx="8">
                  <c:v>-5190.3276599970413</c:v>
                </c:pt>
                <c:pt idx="9">
                  <c:v>7754.7010452379182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05-2E49-9846-A4CBDA45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480640"/>
        <c:axId val="882482320"/>
      </c:scatterChart>
      <c:valAx>
        <c:axId val="88248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ore processed (000’s tonnes) </a:t>
                </a:r>
              </a:p>
            </c:rich>
          </c:tx>
          <c:overlay val="0"/>
        </c:title>
        <c:majorTickMark val="out"/>
        <c:minorTickMark val="none"/>
        <c:tickLblPos val="nextTo"/>
        <c:crossAx val="882482320"/>
        <c:crosses val="autoZero"/>
        <c:crossBetween val="midCat"/>
      </c:valAx>
      <c:valAx>
        <c:axId val="882482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4806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Copper recovery (%)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Copper production (tonnes) </c:v>
          </c:tx>
          <c:spPr>
            <a:ln w="28575">
              <a:noFill/>
            </a:ln>
          </c:spPr>
          <c:xVal>
            <c:numRef>
              <c:f>'Sentinel regression data'!$C$2:$C$11</c:f>
              <c:numCache>
                <c:formatCode>General</c:formatCode>
                <c:ptCount val="10"/>
                <c:pt idx="0">
                  <c:v>41</c:v>
                </c:pt>
                <c:pt idx="1">
                  <c:v>68</c:v>
                </c:pt>
                <c:pt idx="2">
                  <c:v>87</c:v>
                </c:pt>
                <c:pt idx="3">
                  <c:v>91</c:v>
                </c:pt>
                <c:pt idx="4">
                  <c:v>91</c:v>
                </c:pt>
                <c:pt idx="5">
                  <c:v>90</c:v>
                </c:pt>
                <c:pt idx="6">
                  <c:v>89</c:v>
                </c:pt>
                <c:pt idx="7">
                  <c:v>90</c:v>
                </c:pt>
                <c:pt idx="8">
                  <c:v>90</c:v>
                </c:pt>
                <c:pt idx="9">
                  <c:v>88</c:v>
                </c:pt>
              </c:numCache>
            </c:numRef>
          </c:xVal>
          <c:yVal>
            <c:numRef>
              <c:f>'Sentinel regression data'!$B$2:$B$11</c:f>
              <c:numCache>
                <c:formatCode>#,##0</c:formatCode>
                <c:ptCount val="10"/>
                <c:pt idx="0">
                  <c:v>32971</c:v>
                </c:pt>
                <c:pt idx="1">
                  <c:v>139600</c:v>
                </c:pt>
                <c:pt idx="2">
                  <c:v>190683</c:v>
                </c:pt>
                <c:pt idx="3">
                  <c:v>223656</c:v>
                </c:pt>
                <c:pt idx="4">
                  <c:v>220006</c:v>
                </c:pt>
                <c:pt idx="5">
                  <c:v>251216</c:v>
                </c:pt>
                <c:pt idx="6">
                  <c:v>232688</c:v>
                </c:pt>
                <c:pt idx="7">
                  <c:v>242451</c:v>
                </c:pt>
                <c:pt idx="8">
                  <c:v>214046</c:v>
                </c:pt>
                <c:pt idx="9">
                  <c:v>230792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E-A84F-A190-1CEA287A15CB}"/>
            </c:ext>
          </c:extLst>
        </c:ser>
        <c:ser>
          <c:idx val="1"/>
          <c:order val="1"/>
          <c:tx>
            <c:v>Predicted Copper production (tonnes) </c:v>
          </c:tx>
          <c:spPr>
            <a:ln w="28575">
              <a:noFill/>
            </a:ln>
          </c:spPr>
          <c:xVal>
            <c:numRef>
              <c:f>'Sentinel regression data'!$C$2:$C$11</c:f>
              <c:numCache>
                <c:formatCode>General</c:formatCode>
                <c:ptCount val="10"/>
                <c:pt idx="0">
                  <c:v>41</c:v>
                </c:pt>
                <c:pt idx="1">
                  <c:v>68</c:v>
                </c:pt>
                <c:pt idx="2">
                  <c:v>87</c:v>
                </c:pt>
                <c:pt idx="3">
                  <c:v>91</c:v>
                </c:pt>
                <c:pt idx="4">
                  <c:v>91</c:v>
                </c:pt>
                <c:pt idx="5">
                  <c:v>90</c:v>
                </c:pt>
                <c:pt idx="6">
                  <c:v>89</c:v>
                </c:pt>
                <c:pt idx="7">
                  <c:v>90</c:v>
                </c:pt>
                <c:pt idx="8">
                  <c:v>90</c:v>
                </c:pt>
                <c:pt idx="9">
                  <c:v>88</c:v>
                </c:pt>
              </c:numCache>
            </c:numRef>
          </c:xVal>
          <c:yVal>
            <c:numRef>
              <c:f>'Sentinel regression stats'!$B$27:$B$36</c:f>
              <c:numCache>
                <c:formatCode>General</c:formatCode>
                <c:ptCount val="10"/>
                <c:pt idx="0">
                  <c:v>30019.72731437975</c:v>
                </c:pt>
                <c:pt idx="1">
                  <c:v>146220.94484858721</c:v>
                </c:pt>
                <c:pt idx="2">
                  <c:v>192529.46587099836</c:v>
                </c:pt>
                <c:pt idx="3">
                  <c:v>220028.48105395099</c:v>
                </c:pt>
                <c:pt idx="4">
                  <c:v>220359.88268617936</c:v>
                </c:pt>
                <c:pt idx="5">
                  <c:v>241845.28345868748</c:v>
                </c:pt>
                <c:pt idx="6">
                  <c:v>238335.94314408361</c:v>
                </c:pt>
                <c:pt idx="7">
                  <c:v>246495.64500837412</c:v>
                </c:pt>
                <c:pt idx="8">
                  <c:v>219236.32765999704</c:v>
                </c:pt>
                <c:pt idx="9">
                  <c:v>223037.29895476208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AE-A84F-A190-1CEA287A1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501664"/>
        <c:axId val="882506288"/>
      </c:scatterChart>
      <c:valAx>
        <c:axId val="88250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recovery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506288"/>
        <c:crosses val="autoZero"/>
        <c:crossBetween val="midCat"/>
      </c:valAx>
      <c:valAx>
        <c:axId val="882506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production (tonnes) 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8825016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Copper ore grade processed (%)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Copper production (tonnes) </c:v>
          </c:tx>
          <c:spPr>
            <a:ln w="28575">
              <a:noFill/>
            </a:ln>
          </c:spPr>
          <c:xVal>
            <c:strRef>
              <c:f>'Sentinel regression stats'!$D$2:$D$11</c:f>
              <c:strCache>
                <c:ptCount val="10"/>
                <c:pt idx="9">
                  <c:v>MS</c:v>
                </c:pt>
              </c:strCache>
            </c:strRef>
          </c:xVal>
          <c:yVal>
            <c:numRef>
              <c:f>'Sentinel regression data'!$B$2:$B$11</c:f>
              <c:numCache>
                <c:formatCode>#,##0</c:formatCode>
                <c:ptCount val="10"/>
                <c:pt idx="0">
                  <c:v>32971</c:v>
                </c:pt>
                <c:pt idx="1">
                  <c:v>139600</c:v>
                </c:pt>
                <c:pt idx="2">
                  <c:v>190683</c:v>
                </c:pt>
                <c:pt idx="3">
                  <c:v>223656</c:v>
                </c:pt>
                <c:pt idx="4">
                  <c:v>220006</c:v>
                </c:pt>
                <c:pt idx="5">
                  <c:v>251216</c:v>
                </c:pt>
                <c:pt idx="6">
                  <c:v>232688</c:v>
                </c:pt>
                <c:pt idx="7">
                  <c:v>242451</c:v>
                </c:pt>
                <c:pt idx="8">
                  <c:v>214046</c:v>
                </c:pt>
                <c:pt idx="9">
                  <c:v>230792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F-4644-AFF4-0306583CA3DB}"/>
            </c:ext>
          </c:extLst>
        </c:ser>
        <c:ser>
          <c:idx val="1"/>
          <c:order val="1"/>
          <c:tx>
            <c:v>Predicted Copper production (tonnes) </c:v>
          </c:tx>
          <c:spPr>
            <a:ln w="28575">
              <a:noFill/>
            </a:ln>
          </c:spPr>
          <c:xVal>
            <c:strRef>
              <c:f>'Sentinel regression stats'!$D$2:$D$11</c:f>
              <c:strCache>
                <c:ptCount val="10"/>
                <c:pt idx="9">
                  <c:v>MS</c:v>
                </c:pt>
              </c:strCache>
            </c:strRef>
          </c:xVal>
          <c:yVal>
            <c:numRef>
              <c:f>'Sentinel regression stats'!$B$27:$B$36</c:f>
              <c:numCache>
                <c:formatCode>General</c:formatCode>
                <c:ptCount val="10"/>
                <c:pt idx="0">
                  <c:v>30019.72731437975</c:v>
                </c:pt>
                <c:pt idx="1">
                  <c:v>146220.94484858721</c:v>
                </c:pt>
                <c:pt idx="2">
                  <c:v>192529.46587099836</c:v>
                </c:pt>
                <c:pt idx="3">
                  <c:v>220028.48105395099</c:v>
                </c:pt>
                <c:pt idx="4">
                  <c:v>220359.88268617936</c:v>
                </c:pt>
                <c:pt idx="5">
                  <c:v>241845.28345868748</c:v>
                </c:pt>
                <c:pt idx="6">
                  <c:v>238335.94314408361</c:v>
                </c:pt>
                <c:pt idx="7">
                  <c:v>246495.64500837412</c:v>
                </c:pt>
                <c:pt idx="8">
                  <c:v>219236.32765999704</c:v>
                </c:pt>
                <c:pt idx="9">
                  <c:v>223037.29895476208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F-4644-AFF4-0306583C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022464"/>
        <c:axId val="883024144"/>
      </c:scatterChart>
      <c:valAx>
        <c:axId val="883022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ore grade processed (%) </a:t>
                </a:r>
              </a:p>
            </c:rich>
          </c:tx>
          <c:overlay val="0"/>
        </c:title>
        <c:majorTickMark val="out"/>
        <c:minorTickMark val="none"/>
        <c:tickLblPos val="nextTo"/>
        <c:crossAx val="883024144"/>
        <c:crosses val="autoZero"/>
        <c:crossBetween val="midCat"/>
      </c:valAx>
      <c:valAx>
        <c:axId val="883024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production (tonnes) 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8830224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Copper ore processed (000’s tonnes)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Copper production (tonnes) </c:v>
          </c:tx>
          <c:spPr>
            <a:ln w="28575">
              <a:noFill/>
            </a:ln>
          </c:spPr>
          <c:xVal>
            <c:strRef>
              <c:f>'Sentinel regression stats'!$E$2:$E$11</c:f>
              <c:strCache>
                <c:ptCount val="10"/>
                <c:pt idx="9">
                  <c:v>F</c:v>
                </c:pt>
              </c:strCache>
            </c:strRef>
          </c:xVal>
          <c:yVal>
            <c:numRef>
              <c:f>'Sentinel regression data'!$B$2:$B$11</c:f>
              <c:numCache>
                <c:formatCode>#,##0</c:formatCode>
                <c:ptCount val="10"/>
                <c:pt idx="0">
                  <c:v>32971</c:v>
                </c:pt>
                <c:pt idx="1">
                  <c:v>139600</c:v>
                </c:pt>
                <c:pt idx="2">
                  <c:v>190683</c:v>
                </c:pt>
                <c:pt idx="3">
                  <c:v>223656</c:v>
                </c:pt>
                <c:pt idx="4">
                  <c:v>220006</c:v>
                </c:pt>
                <c:pt idx="5">
                  <c:v>251216</c:v>
                </c:pt>
                <c:pt idx="6">
                  <c:v>232688</c:v>
                </c:pt>
                <c:pt idx="7">
                  <c:v>242451</c:v>
                </c:pt>
                <c:pt idx="8">
                  <c:v>214046</c:v>
                </c:pt>
                <c:pt idx="9">
                  <c:v>230792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1-B848-A5A6-CC8B91048757}"/>
            </c:ext>
          </c:extLst>
        </c:ser>
        <c:ser>
          <c:idx val="1"/>
          <c:order val="1"/>
          <c:tx>
            <c:v>Predicted Copper production (tonnes) </c:v>
          </c:tx>
          <c:spPr>
            <a:ln w="28575">
              <a:noFill/>
            </a:ln>
          </c:spPr>
          <c:xVal>
            <c:strRef>
              <c:f>'Sentinel regression stats'!$E$2:$E$11</c:f>
              <c:strCache>
                <c:ptCount val="10"/>
                <c:pt idx="9">
                  <c:v>F</c:v>
                </c:pt>
              </c:strCache>
            </c:strRef>
          </c:xVal>
          <c:yVal>
            <c:numRef>
              <c:f>'Sentinel regression stats'!$B$27:$B$36</c:f>
              <c:numCache>
                <c:formatCode>General</c:formatCode>
                <c:ptCount val="10"/>
                <c:pt idx="0">
                  <c:v>30019.72731437975</c:v>
                </c:pt>
                <c:pt idx="1">
                  <c:v>146220.94484858721</c:v>
                </c:pt>
                <c:pt idx="2">
                  <c:v>192529.46587099836</c:v>
                </c:pt>
                <c:pt idx="3">
                  <c:v>220028.48105395099</c:v>
                </c:pt>
                <c:pt idx="4">
                  <c:v>220359.88268617936</c:v>
                </c:pt>
                <c:pt idx="5">
                  <c:v>241845.28345868748</c:v>
                </c:pt>
                <c:pt idx="6">
                  <c:v>238335.94314408361</c:v>
                </c:pt>
                <c:pt idx="7">
                  <c:v>246495.64500837412</c:v>
                </c:pt>
                <c:pt idx="8">
                  <c:v>219236.32765999704</c:v>
                </c:pt>
                <c:pt idx="9">
                  <c:v>223037.29895476208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1-B848-A5A6-CC8B91048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903280"/>
        <c:axId val="815904960"/>
      </c:scatterChart>
      <c:valAx>
        <c:axId val="81590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ore processed (000’s tonnes) </a:t>
                </a:r>
              </a:p>
            </c:rich>
          </c:tx>
          <c:overlay val="0"/>
        </c:title>
        <c:majorTickMark val="out"/>
        <c:minorTickMark val="none"/>
        <c:tickLblPos val="nextTo"/>
        <c:crossAx val="815904960"/>
        <c:crosses val="autoZero"/>
        <c:crossBetween val="midCat"/>
      </c:valAx>
      <c:valAx>
        <c:axId val="815904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Copper production (tonnes) 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815903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139700</xdr:colOff>
      <xdr:row>2</xdr:row>
      <xdr:rowOff>114300</xdr:rowOff>
    </xdr:from>
    <xdr:to>
      <xdr:col>24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E8A2B-74D7-B643-A586-22D98284A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215900</xdr:colOff>
      <xdr:row>28</xdr:row>
      <xdr:rowOff>50800</xdr:rowOff>
    </xdr:from>
    <xdr:to>
      <xdr:col>27</xdr:col>
      <xdr:colOff>215900</xdr:colOff>
      <xdr:row>38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8630E-81EA-1D4D-B88C-C16CE328D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190500</xdr:colOff>
      <xdr:row>6</xdr:row>
      <xdr:rowOff>152400</xdr:rowOff>
    </xdr:from>
    <xdr:to>
      <xdr:col>25</xdr:col>
      <xdr:colOff>190500</xdr:colOff>
      <xdr:row>16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2FC949-63ED-ED43-B32B-61FCA65C4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749300</xdr:colOff>
      <xdr:row>10</xdr:row>
      <xdr:rowOff>177800</xdr:rowOff>
    </xdr:from>
    <xdr:to>
      <xdr:col>23</xdr:col>
      <xdr:colOff>749300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849211-A742-E74E-9D67-2D12D0428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177800</xdr:colOff>
      <xdr:row>11</xdr:row>
      <xdr:rowOff>50800</xdr:rowOff>
    </xdr:from>
    <xdr:to>
      <xdr:col>24</xdr:col>
      <xdr:colOff>177800</xdr:colOff>
      <xdr:row>21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94C2C2-A8AA-E94B-A333-E74E7F4C3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812800</xdr:colOff>
      <xdr:row>15</xdr:row>
      <xdr:rowOff>101600</xdr:rowOff>
    </xdr:from>
    <xdr:to>
      <xdr:col>31</xdr:col>
      <xdr:colOff>812800</xdr:colOff>
      <xdr:row>25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C971A6-F4C8-2E42-B3F5-58032B9D4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J12" sqref="J12"/>
    </sheetView>
  </sheetViews>
  <sheetFormatPr baseColWidth="10" defaultColWidth="8.83203125" defaultRowHeight="15"/>
  <cols>
    <col min="1" max="1" width="42.1640625" bestFit="1" customWidth="1"/>
  </cols>
  <sheetData>
    <row r="1" spans="1:13">
      <c r="A1" t="s">
        <v>10</v>
      </c>
      <c r="B1" s="24" t="s">
        <v>11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>
      <c r="A2" s="1" t="s">
        <v>12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/>
      <c r="M2" s="10"/>
    </row>
    <row r="3" spans="1:13" ht="19">
      <c r="A3" s="2" t="s">
        <v>13</v>
      </c>
      <c r="B3" s="3">
        <v>14016</v>
      </c>
      <c r="C3" s="3">
        <v>36369</v>
      </c>
      <c r="D3" s="4">
        <v>42087</v>
      </c>
      <c r="E3" s="3">
        <v>48750</v>
      </c>
      <c r="F3" s="3">
        <v>48858</v>
      </c>
      <c r="G3" s="3">
        <v>56589</v>
      </c>
      <c r="H3" s="3">
        <v>56329</v>
      </c>
      <c r="I3" s="3">
        <v>58868</v>
      </c>
      <c r="J3" s="3">
        <v>49221</v>
      </c>
      <c r="K3" s="3">
        <v>51300</v>
      </c>
    </row>
    <row r="4" spans="1:13" ht="19">
      <c r="A4" s="2" t="s">
        <v>14</v>
      </c>
      <c r="B4">
        <v>0.6</v>
      </c>
      <c r="C4">
        <v>0.6</v>
      </c>
      <c r="D4">
        <v>0.5</v>
      </c>
      <c r="E4">
        <v>0.5</v>
      </c>
      <c r="F4">
        <v>0.5</v>
      </c>
      <c r="G4">
        <v>0.49</v>
      </c>
      <c r="H4">
        <v>0.47</v>
      </c>
      <c r="I4">
        <v>0.46</v>
      </c>
      <c r="J4">
        <v>0.49</v>
      </c>
      <c r="K4">
        <v>0.51</v>
      </c>
    </row>
    <row r="5" spans="1:13" ht="19">
      <c r="A5" s="2" t="s">
        <v>15</v>
      </c>
      <c r="B5">
        <v>41</v>
      </c>
      <c r="C5">
        <v>68</v>
      </c>
      <c r="D5">
        <v>87</v>
      </c>
      <c r="E5">
        <v>91</v>
      </c>
      <c r="F5">
        <v>91</v>
      </c>
      <c r="G5">
        <v>90</v>
      </c>
      <c r="H5">
        <v>89</v>
      </c>
      <c r="I5">
        <v>90</v>
      </c>
      <c r="J5">
        <v>90</v>
      </c>
      <c r="K5">
        <v>88</v>
      </c>
    </row>
    <row r="6" spans="1:13" ht="19">
      <c r="A6" s="2" t="s">
        <v>16</v>
      </c>
      <c r="B6" s="3">
        <v>32971</v>
      </c>
      <c r="C6" s="3">
        <v>139600</v>
      </c>
      <c r="D6" s="3">
        <v>190683</v>
      </c>
      <c r="E6" s="3">
        <v>223656</v>
      </c>
      <c r="F6" s="3">
        <v>220006</v>
      </c>
      <c r="G6" s="3">
        <v>251216</v>
      </c>
      <c r="H6" s="3">
        <v>232688</v>
      </c>
      <c r="I6" s="3">
        <v>242451</v>
      </c>
      <c r="J6" s="3">
        <v>214046</v>
      </c>
      <c r="K6" s="3">
        <v>230792</v>
      </c>
    </row>
    <row r="9" spans="1:13" ht="19">
      <c r="A9" s="2"/>
      <c r="B9" s="3"/>
    </row>
    <row r="10" spans="1:13" ht="19">
      <c r="A10" s="2"/>
    </row>
    <row r="11" spans="1:13" ht="19">
      <c r="A11" s="2"/>
    </row>
    <row r="12" spans="1:13" ht="19">
      <c r="A12" s="2"/>
    </row>
  </sheetData>
  <mergeCells count="1">
    <mergeCell ref="B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A22" sqref="A22"/>
    </sheetView>
  </sheetViews>
  <sheetFormatPr baseColWidth="10" defaultColWidth="8.83203125" defaultRowHeight="15"/>
  <cols>
    <col min="1" max="1" width="35.1640625" bestFit="1" customWidth="1"/>
    <col min="3" max="11" width="9.1640625" bestFit="1" customWidth="1"/>
  </cols>
  <sheetData>
    <row r="1" spans="1:11">
      <c r="A1" s="1" t="s">
        <v>10</v>
      </c>
      <c r="B1" s="25" t="s">
        <v>32</v>
      </c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t="s">
        <v>12</v>
      </c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</row>
    <row r="3" spans="1:11">
      <c r="A3" t="s">
        <v>17</v>
      </c>
      <c r="B3" s="3">
        <v>8296</v>
      </c>
      <c r="C3" s="3">
        <v>11988</v>
      </c>
      <c r="D3" s="3">
        <v>12970</v>
      </c>
      <c r="E3" s="3">
        <v>12978</v>
      </c>
      <c r="F3" s="3">
        <v>12908</v>
      </c>
      <c r="G3" s="3">
        <v>13527</v>
      </c>
      <c r="H3" s="3">
        <v>13386</v>
      </c>
      <c r="I3" s="3">
        <v>13160</v>
      </c>
      <c r="J3" s="3">
        <v>12446</v>
      </c>
      <c r="K3" s="3">
        <v>9452</v>
      </c>
    </row>
    <row r="4" spans="1:11">
      <c r="A4" t="s">
        <v>18</v>
      </c>
      <c r="B4">
        <v>0.8</v>
      </c>
      <c r="C4">
        <v>0.8</v>
      </c>
      <c r="D4">
        <v>0.8</v>
      </c>
      <c r="E4">
        <v>0.78</v>
      </c>
      <c r="F4">
        <v>0.89</v>
      </c>
      <c r="G4">
        <v>0.83</v>
      </c>
      <c r="H4">
        <v>0.88</v>
      </c>
      <c r="I4">
        <v>0.71</v>
      </c>
      <c r="J4">
        <v>0.51</v>
      </c>
      <c r="K4">
        <v>0.6</v>
      </c>
    </row>
    <row r="5" spans="1:11">
      <c r="A5" t="s">
        <v>19</v>
      </c>
      <c r="B5">
        <v>91</v>
      </c>
      <c r="C5">
        <v>92</v>
      </c>
      <c r="D5">
        <v>91</v>
      </c>
      <c r="E5">
        <v>91</v>
      </c>
      <c r="F5">
        <v>91</v>
      </c>
      <c r="G5">
        <v>92</v>
      </c>
      <c r="H5">
        <v>91</v>
      </c>
      <c r="I5">
        <v>89</v>
      </c>
      <c r="J5">
        <v>88</v>
      </c>
      <c r="K5">
        <v>91</v>
      </c>
    </row>
    <row r="6" spans="1:11">
      <c r="A6" t="s">
        <v>20</v>
      </c>
      <c r="B6" s="3">
        <v>10949</v>
      </c>
      <c r="C6" s="3">
        <v>7953</v>
      </c>
      <c r="D6">
        <v>7997</v>
      </c>
      <c r="E6" s="3">
        <v>8186</v>
      </c>
      <c r="F6" s="3">
        <v>7699</v>
      </c>
      <c r="G6" s="3">
        <v>8167</v>
      </c>
      <c r="H6" s="3">
        <v>7601</v>
      </c>
      <c r="I6" s="3">
        <v>7713</v>
      </c>
      <c r="J6" s="3">
        <v>7773</v>
      </c>
      <c r="K6" s="3">
        <v>10061</v>
      </c>
    </row>
    <row r="7" spans="1:11">
      <c r="A7" t="s">
        <v>21</v>
      </c>
      <c r="B7">
        <v>1.1000000000000001</v>
      </c>
      <c r="C7">
        <v>1</v>
      </c>
      <c r="D7">
        <v>1</v>
      </c>
      <c r="E7">
        <v>1.06</v>
      </c>
      <c r="F7">
        <v>1.05</v>
      </c>
      <c r="G7">
        <v>1</v>
      </c>
      <c r="H7">
        <v>0.96</v>
      </c>
      <c r="I7">
        <v>0.63</v>
      </c>
      <c r="J7">
        <v>0.63</v>
      </c>
      <c r="K7">
        <v>0.98</v>
      </c>
    </row>
    <row r="8" spans="1:11">
      <c r="A8" t="s">
        <v>22</v>
      </c>
      <c r="B8">
        <v>72</v>
      </c>
      <c r="C8">
        <v>84</v>
      </c>
      <c r="D8">
        <v>85</v>
      </c>
      <c r="E8">
        <v>82</v>
      </c>
      <c r="F8">
        <v>77</v>
      </c>
      <c r="G8">
        <v>81</v>
      </c>
      <c r="H8">
        <v>82</v>
      </c>
      <c r="I8">
        <v>74</v>
      </c>
      <c r="J8">
        <v>71</v>
      </c>
      <c r="K8">
        <v>81</v>
      </c>
    </row>
    <row r="9" spans="1:11">
      <c r="A9" t="s">
        <v>23</v>
      </c>
      <c r="B9" s="3">
        <v>6795</v>
      </c>
      <c r="C9" s="3">
        <v>7076</v>
      </c>
      <c r="D9">
        <v>6916</v>
      </c>
      <c r="E9" s="3">
        <v>6916</v>
      </c>
      <c r="F9" s="3">
        <v>7201</v>
      </c>
      <c r="G9" s="3">
        <v>7440</v>
      </c>
      <c r="H9" s="3">
        <v>7164</v>
      </c>
      <c r="I9" s="3">
        <v>7866</v>
      </c>
      <c r="J9" s="3">
        <v>7232</v>
      </c>
      <c r="K9" s="3">
        <v>7404</v>
      </c>
    </row>
    <row r="10" spans="1:11">
      <c r="A10" t="s">
        <v>24</v>
      </c>
      <c r="B10">
        <v>1.5</v>
      </c>
      <c r="C10">
        <v>1.5</v>
      </c>
      <c r="D10">
        <v>1.5</v>
      </c>
      <c r="E10">
        <v>1.44</v>
      </c>
      <c r="F10">
        <v>1.1200000000000001</v>
      </c>
      <c r="G10">
        <v>0.93</v>
      </c>
      <c r="H10">
        <v>0.72</v>
      </c>
      <c r="I10">
        <v>0.56999999999999995</v>
      </c>
      <c r="J10">
        <v>0.83</v>
      </c>
      <c r="K10">
        <v>0.74</v>
      </c>
    </row>
    <row r="11" spans="1:11">
      <c r="A11" t="s">
        <v>25</v>
      </c>
      <c r="B11">
        <v>80</v>
      </c>
      <c r="C11">
        <v>94</v>
      </c>
      <c r="D11">
        <v>87</v>
      </c>
      <c r="E11">
        <v>89</v>
      </c>
      <c r="F11">
        <v>82</v>
      </c>
      <c r="G11">
        <v>76</v>
      </c>
      <c r="H11">
        <v>69</v>
      </c>
      <c r="I11">
        <v>64</v>
      </c>
      <c r="J11">
        <v>76</v>
      </c>
      <c r="K11">
        <v>73</v>
      </c>
    </row>
    <row r="12" spans="1:11">
      <c r="A12" t="s">
        <v>26</v>
      </c>
      <c r="B12" s="3">
        <v>226674</v>
      </c>
      <c r="C12" s="3">
        <v>253272</v>
      </c>
      <c r="D12" s="3">
        <v>250801</v>
      </c>
      <c r="E12" s="3">
        <v>251522</v>
      </c>
      <c r="F12" s="3">
        <v>232243</v>
      </c>
      <c r="G12" s="3">
        <v>221487</v>
      </c>
      <c r="H12" s="3">
        <v>202159</v>
      </c>
      <c r="I12" s="3">
        <v>146282</v>
      </c>
      <c r="J12" s="3">
        <v>134827</v>
      </c>
      <c r="K12" s="3">
        <v>170929</v>
      </c>
    </row>
    <row r="13" spans="1:11">
      <c r="A13" s="5" t="s">
        <v>27</v>
      </c>
      <c r="B13" s="3"/>
    </row>
    <row r="14" spans="1:11">
      <c r="A14" t="s">
        <v>28</v>
      </c>
      <c r="B14" s="3">
        <v>709188</v>
      </c>
      <c r="C14" s="3">
        <v>1143974</v>
      </c>
      <c r="D14" s="3">
        <v>1211740</v>
      </c>
      <c r="E14" s="3">
        <v>1381637</v>
      </c>
      <c r="F14" s="3">
        <v>1317826</v>
      </c>
      <c r="G14" s="3">
        <v>1320328</v>
      </c>
      <c r="H14" s="3">
        <v>1259856</v>
      </c>
      <c r="I14" s="3">
        <v>1304839</v>
      </c>
      <c r="J14" s="3">
        <v>1281364</v>
      </c>
      <c r="K14" s="3">
        <v>1356478</v>
      </c>
    </row>
    <row r="15" spans="1:11">
      <c r="A15" t="s">
        <v>29</v>
      </c>
      <c r="B15" s="3">
        <v>150292</v>
      </c>
      <c r="C15" s="3">
        <v>257330</v>
      </c>
      <c r="D15" s="3">
        <v>291553</v>
      </c>
      <c r="E15" s="3">
        <v>347037</v>
      </c>
      <c r="F15" s="3">
        <v>324281</v>
      </c>
      <c r="G15" s="3">
        <v>323667</v>
      </c>
      <c r="H15" s="3">
        <v>301556</v>
      </c>
      <c r="I15" s="3">
        <v>304914</v>
      </c>
      <c r="J15" s="3">
        <v>315860</v>
      </c>
      <c r="K15" s="3">
        <v>335500</v>
      </c>
    </row>
    <row r="16" spans="1:11">
      <c r="A16" t="s">
        <v>30</v>
      </c>
      <c r="B16" s="3">
        <v>98</v>
      </c>
      <c r="C16" s="3">
        <v>97</v>
      </c>
      <c r="D16" s="3">
        <v>96</v>
      </c>
      <c r="E16" s="3">
        <v>97</v>
      </c>
      <c r="F16" s="3">
        <v>97</v>
      </c>
      <c r="G16" s="3">
        <v>98</v>
      </c>
      <c r="H16" s="3">
        <v>98</v>
      </c>
      <c r="I16" s="3">
        <v>97</v>
      </c>
      <c r="J16" s="3">
        <v>98</v>
      </c>
      <c r="K16" s="3">
        <v>97</v>
      </c>
    </row>
    <row r="17" spans="1:11">
      <c r="A17" t="s">
        <v>31</v>
      </c>
      <c r="B17" s="3">
        <v>645</v>
      </c>
      <c r="C17" s="3">
        <v>1109</v>
      </c>
      <c r="D17" s="3">
        <v>1128</v>
      </c>
      <c r="E17" s="3">
        <v>1255</v>
      </c>
      <c r="F17" s="3">
        <v>1236</v>
      </c>
      <c r="G17" s="3">
        <v>1262</v>
      </c>
      <c r="H17" s="3">
        <v>1217</v>
      </c>
      <c r="I17" s="3">
        <v>1247</v>
      </c>
      <c r="J17" s="3">
        <v>1166</v>
      </c>
      <c r="K17" s="3">
        <v>1202</v>
      </c>
    </row>
  </sheetData>
  <mergeCells count="1">
    <mergeCell ref="B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C9C1-A412-5B43-A478-968BC194947F}">
  <dimension ref="A2:D37"/>
  <sheetViews>
    <sheetView tabSelected="1" workbookViewId="0">
      <selection activeCell="H7" sqref="H7"/>
    </sheetView>
  </sheetViews>
  <sheetFormatPr baseColWidth="10" defaultRowHeight="15"/>
  <sheetData>
    <row r="2" spans="1:4">
      <c r="A2" s="27" t="s">
        <v>129</v>
      </c>
      <c r="B2" s="27"/>
      <c r="C2" s="27"/>
      <c r="D2" s="27"/>
    </row>
    <row r="3" spans="1:4">
      <c r="A3" t="s">
        <v>12</v>
      </c>
      <c r="B3" t="s">
        <v>127</v>
      </c>
      <c r="C3" t="s">
        <v>32</v>
      </c>
      <c r="D3" t="s">
        <v>128</v>
      </c>
    </row>
    <row r="4" spans="1:4">
      <c r="A4">
        <v>2024</v>
      </c>
      <c r="B4" s="3">
        <v>170929</v>
      </c>
      <c r="C4" s="3">
        <v>230792</v>
      </c>
      <c r="D4" s="3">
        <f>SUM(B4:C4)</f>
        <v>401721</v>
      </c>
    </row>
    <row r="5" spans="1:4">
      <c r="A5">
        <v>2025</v>
      </c>
      <c r="B5">
        <v>229540</v>
      </c>
      <c r="C5">
        <v>157828</v>
      </c>
      <c r="D5" s="3">
        <f t="shared" ref="D5:D11" si="0">SUM(B5:C5)</f>
        <v>387368</v>
      </c>
    </row>
    <row r="6" spans="1:4">
      <c r="A6">
        <v>2026</v>
      </c>
      <c r="B6">
        <v>225997</v>
      </c>
      <c r="C6">
        <v>149551</v>
      </c>
      <c r="D6" s="3">
        <f t="shared" si="0"/>
        <v>375548</v>
      </c>
    </row>
    <row r="7" spans="1:4">
      <c r="A7">
        <v>2027</v>
      </c>
      <c r="B7">
        <v>231660</v>
      </c>
      <c r="C7">
        <v>143288</v>
      </c>
      <c r="D7" s="3">
        <f t="shared" si="0"/>
        <v>374948</v>
      </c>
    </row>
    <row r="8" spans="1:4">
      <c r="A8">
        <v>2028</v>
      </c>
      <c r="B8">
        <v>236038</v>
      </c>
      <c r="C8">
        <v>135799</v>
      </c>
      <c r="D8" s="3">
        <f t="shared" si="0"/>
        <v>371837</v>
      </c>
    </row>
    <row r="9" spans="1:4">
      <c r="A9">
        <v>2029</v>
      </c>
      <c r="B9">
        <v>229427</v>
      </c>
      <c r="C9">
        <v>126454</v>
      </c>
      <c r="D9" s="3">
        <f t="shared" si="0"/>
        <v>355881</v>
      </c>
    </row>
    <row r="10" spans="1:4">
      <c r="A10">
        <v>2030</v>
      </c>
      <c r="B10">
        <v>237460</v>
      </c>
      <c r="C10">
        <v>119483</v>
      </c>
      <c r="D10" s="3">
        <f t="shared" si="0"/>
        <v>356943</v>
      </c>
    </row>
    <row r="11" spans="1:4">
      <c r="A11">
        <v>2031</v>
      </c>
      <c r="B11">
        <v>237460</v>
      </c>
      <c r="C11">
        <v>112887</v>
      </c>
      <c r="D11" s="3">
        <f t="shared" si="0"/>
        <v>350347</v>
      </c>
    </row>
    <row r="15" spans="1:4">
      <c r="A15" s="27" t="s">
        <v>130</v>
      </c>
      <c r="B15" s="27"/>
      <c r="C15" s="27"/>
      <c r="D15" s="27"/>
    </row>
    <row r="16" spans="1:4">
      <c r="A16" t="s">
        <v>12</v>
      </c>
      <c r="B16" t="s">
        <v>127</v>
      </c>
      <c r="C16" t="s">
        <v>32</v>
      </c>
      <c r="D16" t="s">
        <v>128</v>
      </c>
    </row>
    <row r="17" spans="1:4">
      <c r="A17">
        <v>2024</v>
      </c>
      <c r="B17" s="23">
        <v>170929</v>
      </c>
      <c r="C17" s="23">
        <v>230792</v>
      </c>
      <c r="D17" s="3">
        <f>SUM(B17:C17)</f>
        <v>401721</v>
      </c>
    </row>
    <row r="18" spans="1:4">
      <c r="A18">
        <v>2025</v>
      </c>
      <c r="B18">
        <v>235701</v>
      </c>
      <c r="C18">
        <v>177395</v>
      </c>
      <c r="D18" s="3">
        <f t="shared" ref="D18:D24" si="1">SUM(B18:C18)</f>
        <v>413096</v>
      </c>
    </row>
    <row r="19" spans="1:4">
      <c r="A19">
        <v>2026</v>
      </c>
      <c r="B19">
        <v>238769</v>
      </c>
      <c r="C19">
        <v>186548</v>
      </c>
      <c r="D19" s="3">
        <f t="shared" si="1"/>
        <v>425317</v>
      </c>
    </row>
    <row r="20" spans="1:4">
      <c r="A20">
        <v>2027</v>
      </c>
      <c r="B20">
        <v>242312</v>
      </c>
      <c r="C20">
        <v>202385</v>
      </c>
      <c r="D20" s="3">
        <f t="shared" si="1"/>
        <v>444697</v>
      </c>
    </row>
    <row r="21" spans="1:4">
      <c r="A21">
        <v>2028</v>
      </c>
      <c r="B21">
        <v>247164</v>
      </c>
      <c r="C21">
        <v>118741</v>
      </c>
      <c r="D21" s="3">
        <f t="shared" si="1"/>
        <v>365905</v>
      </c>
    </row>
    <row r="22" spans="1:4">
      <c r="A22">
        <v>2029</v>
      </c>
      <c r="B22">
        <v>250707</v>
      </c>
      <c r="C22">
        <v>222447</v>
      </c>
      <c r="D22" s="3">
        <f t="shared" si="1"/>
        <v>473154</v>
      </c>
    </row>
    <row r="23" spans="1:4">
      <c r="A23">
        <v>2030</v>
      </c>
      <c r="B23">
        <v>253775</v>
      </c>
      <c r="C23">
        <v>226645</v>
      </c>
      <c r="D23" s="3">
        <f t="shared" si="1"/>
        <v>480420</v>
      </c>
    </row>
    <row r="24" spans="1:4">
      <c r="A24">
        <v>2031</v>
      </c>
      <c r="B24">
        <v>253775</v>
      </c>
      <c r="C24">
        <v>231641</v>
      </c>
      <c r="D24" s="3">
        <f t="shared" si="1"/>
        <v>485416</v>
      </c>
    </row>
    <row r="28" spans="1:4">
      <c r="A28" s="27" t="s">
        <v>131</v>
      </c>
      <c r="B28" s="27"/>
      <c r="C28" s="27"/>
      <c r="D28" s="27"/>
    </row>
    <row r="29" spans="1:4">
      <c r="A29" t="s">
        <v>12</v>
      </c>
      <c r="B29" t="s">
        <v>127</v>
      </c>
      <c r="C29" t="s">
        <v>32</v>
      </c>
      <c r="D29" t="s">
        <v>128</v>
      </c>
    </row>
    <row r="30" spans="1:4">
      <c r="A30">
        <v>2024</v>
      </c>
      <c r="B30" s="23">
        <v>170929</v>
      </c>
      <c r="C30" s="23">
        <v>230792</v>
      </c>
      <c r="D30" s="3">
        <f>SUM(B30:C30)</f>
        <v>401721</v>
      </c>
    </row>
    <row r="31" spans="1:4">
      <c r="A31">
        <v>2025</v>
      </c>
      <c r="B31">
        <v>244569</v>
      </c>
      <c r="C31">
        <v>211180</v>
      </c>
      <c r="D31" s="3">
        <f t="shared" ref="D31:D37" si="2">SUM(B31:C31)</f>
        <v>455749</v>
      </c>
    </row>
    <row r="32" spans="1:4">
      <c r="A32">
        <v>2026</v>
      </c>
      <c r="B32">
        <v>248112</v>
      </c>
      <c r="C32">
        <v>230854</v>
      </c>
      <c r="D32" s="3">
        <f t="shared" si="2"/>
        <v>478966</v>
      </c>
    </row>
    <row r="33" spans="1:4">
      <c r="A33">
        <v>2027</v>
      </c>
      <c r="B33">
        <v>253438</v>
      </c>
      <c r="C33">
        <v>253322</v>
      </c>
      <c r="D33" s="3">
        <f t="shared" si="2"/>
        <v>506760</v>
      </c>
    </row>
    <row r="34" spans="1:4">
      <c r="A34">
        <v>2028</v>
      </c>
      <c r="B34">
        <v>256981</v>
      </c>
      <c r="C34">
        <v>276684</v>
      </c>
      <c r="D34" s="3">
        <f t="shared" si="2"/>
        <v>533665</v>
      </c>
    </row>
    <row r="35" spans="1:4">
      <c r="A35">
        <v>2029</v>
      </c>
      <c r="B35">
        <v>262307</v>
      </c>
      <c r="C35">
        <v>302313</v>
      </c>
      <c r="D35" s="3">
        <f t="shared" si="2"/>
        <v>564620</v>
      </c>
    </row>
    <row r="36" spans="1:4">
      <c r="A36">
        <v>2030</v>
      </c>
      <c r="B36">
        <v>265375</v>
      </c>
      <c r="C36">
        <v>330695</v>
      </c>
      <c r="D36" s="3">
        <f t="shared" si="2"/>
        <v>596070</v>
      </c>
    </row>
    <row r="37" spans="1:4">
      <c r="A37">
        <v>2031</v>
      </c>
      <c r="B37">
        <v>269753</v>
      </c>
      <c r="C37">
        <v>354562</v>
      </c>
      <c r="D37" s="3">
        <f t="shared" si="2"/>
        <v>624315</v>
      </c>
    </row>
  </sheetData>
  <mergeCells count="3">
    <mergeCell ref="A2:D2"/>
    <mergeCell ref="A15:D15"/>
    <mergeCell ref="A28:D28"/>
  </mergeCells>
  <pageMargins left="0.7" right="0.7" top="0.75" bottom="0.75" header="0.3" footer="0.3"/>
  <ignoredErrors>
    <ignoredError sqref="D4 D5:D11 D17:D24 D30:D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29C9-F953-934E-83E6-FB1D67547276}">
  <dimension ref="A1:L44"/>
  <sheetViews>
    <sheetView workbookViewId="0">
      <selection activeCell="B18" sqref="B18"/>
    </sheetView>
  </sheetViews>
  <sheetFormatPr baseColWidth="10" defaultRowHeight="15"/>
  <cols>
    <col min="1" max="1" width="15" customWidth="1"/>
    <col min="2" max="2" width="50.1640625" bestFit="1" customWidth="1"/>
    <col min="3" max="3" width="41" bestFit="1" customWidth="1"/>
    <col min="4" max="4" width="29.1640625" bestFit="1" customWidth="1"/>
    <col min="5" max="5" width="43.83203125" bestFit="1" customWidth="1"/>
    <col min="6" max="6" width="36.33203125" bestFit="1" customWidth="1"/>
    <col min="7" max="7" width="34.6640625" bestFit="1" customWidth="1"/>
    <col min="8" max="8" width="33" bestFit="1" customWidth="1"/>
    <col min="9" max="9" width="29.1640625" customWidth="1"/>
    <col min="10" max="10" width="15.1640625" customWidth="1"/>
    <col min="11" max="11" width="33" customWidth="1"/>
    <col min="12" max="12" width="13.33203125" customWidth="1"/>
  </cols>
  <sheetData>
    <row r="1" spans="1:10">
      <c r="I1" s="9" t="s">
        <v>62</v>
      </c>
      <c r="J1" s="9"/>
    </row>
    <row r="2" spans="1:10" ht="16">
      <c r="A2" t="s">
        <v>12</v>
      </c>
      <c r="B2" s="11" t="s">
        <v>58</v>
      </c>
      <c r="C2" t="s">
        <v>59</v>
      </c>
      <c r="D2" t="s">
        <v>60</v>
      </c>
      <c r="E2" t="s">
        <v>62</v>
      </c>
      <c r="F2" s="14" t="s">
        <v>61</v>
      </c>
      <c r="G2" t="s">
        <v>63</v>
      </c>
      <c r="H2" t="s">
        <v>64</v>
      </c>
      <c r="I2" s="6"/>
      <c r="J2" s="6"/>
    </row>
    <row r="3" spans="1:10" ht="16">
      <c r="A3">
        <v>2015</v>
      </c>
      <c r="B3" s="12">
        <v>710560</v>
      </c>
      <c r="C3" s="3">
        <v>226674</v>
      </c>
      <c r="D3" s="3">
        <v>32971</v>
      </c>
      <c r="E3" s="13">
        <f>(Sentinel!B6+Kansanshi!B12)/'General analysis '!B3</f>
        <v>0.36540897320423327</v>
      </c>
      <c r="F3" s="3">
        <f>(C3+D3)</f>
        <v>259645</v>
      </c>
      <c r="G3" s="13">
        <f>(C3/F3)</f>
        <v>0.87301507827995917</v>
      </c>
      <c r="H3" s="13">
        <f>(D3/F3)</f>
        <v>0.12698492172004083</v>
      </c>
      <c r="I3" s="6" t="s">
        <v>33</v>
      </c>
      <c r="J3" s="6">
        <v>0.51789166094863237</v>
      </c>
    </row>
    <row r="4" spans="1:10" ht="16">
      <c r="A4">
        <v>2016</v>
      </c>
      <c r="B4" s="12">
        <v>770590</v>
      </c>
      <c r="C4" s="3">
        <v>253272</v>
      </c>
      <c r="D4" s="3">
        <v>139600</v>
      </c>
      <c r="E4" s="13">
        <f>(Sentinel!C6+Kansanshi!C12)/'General analysis '!B4</f>
        <v>0.50983272557391091</v>
      </c>
      <c r="F4" s="3">
        <f t="shared" ref="F4:F12" si="0">(C4+D4)</f>
        <v>392872</v>
      </c>
      <c r="G4" s="13">
        <f t="shared" ref="G4:G12" si="1">(C4/F4)</f>
        <v>0.64466798346535259</v>
      </c>
      <c r="H4" s="13">
        <f t="shared" ref="H4:H12" si="2">(D4/F4)</f>
        <v>0.35533201653464741</v>
      </c>
      <c r="I4" s="6" t="s">
        <v>34</v>
      </c>
      <c r="J4" s="6">
        <v>2.0684158787749995E-2</v>
      </c>
    </row>
    <row r="5" spans="1:10" ht="16">
      <c r="A5">
        <v>2017</v>
      </c>
      <c r="B5" s="12">
        <v>786730</v>
      </c>
      <c r="C5" s="3">
        <v>250801</v>
      </c>
      <c r="D5" s="3">
        <v>190683</v>
      </c>
      <c r="E5" s="13">
        <f>(Sentinel!D6+Kansanshi!D12)/'General analysis '!B5</f>
        <v>0.56116329617530791</v>
      </c>
      <c r="F5" s="3">
        <f t="shared" si="0"/>
        <v>441484</v>
      </c>
      <c r="G5" s="13">
        <f t="shared" si="1"/>
        <v>0.56808627266220291</v>
      </c>
      <c r="H5" s="13">
        <f t="shared" si="2"/>
        <v>0.43191372733779709</v>
      </c>
      <c r="I5" s="6" t="s">
        <v>35</v>
      </c>
      <c r="J5" s="6">
        <v>0.52542771581961478</v>
      </c>
    </row>
    <row r="6" spans="1:10" ht="16">
      <c r="A6">
        <v>2018</v>
      </c>
      <c r="B6" s="12">
        <v>809840</v>
      </c>
      <c r="C6" s="3">
        <v>251522</v>
      </c>
      <c r="D6" s="3">
        <v>223656</v>
      </c>
      <c r="E6" s="13">
        <f>(Sentinel!E6+Kansanshi!E12)/'General analysis '!B6</f>
        <v>0.58675540847574825</v>
      </c>
      <c r="F6" s="3">
        <f t="shared" si="0"/>
        <v>475178</v>
      </c>
      <c r="G6" s="13">
        <f t="shared" si="1"/>
        <v>0.52932164367878987</v>
      </c>
      <c r="H6" s="13">
        <f t="shared" si="2"/>
        <v>0.47067835632121013</v>
      </c>
      <c r="I6" s="6" t="s">
        <v>36</v>
      </c>
      <c r="J6" s="6" t="e">
        <v>#N/A</v>
      </c>
    </row>
    <row r="7" spans="1:10" ht="16">
      <c r="A7">
        <v>2019</v>
      </c>
      <c r="B7" s="12">
        <v>793900</v>
      </c>
      <c r="C7" s="3">
        <v>232243</v>
      </c>
      <c r="D7" s="3">
        <v>220006</v>
      </c>
      <c r="E7" s="13">
        <f>(Sentinel!F6+Kansanshi!F12)/'General analysis '!B7</f>
        <v>0.56965486837133139</v>
      </c>
      <c r="F7" s="3">
        <f t="shared" si="0"/>
        <v>452249</v>
      </c>
      <c r="G7" s="13">
        <f t="shared" si="1"/>
        <v>0.51352905147385619</v>
      </c>
      <c r="H7" s="13">
        <f t="shared" si="2"/>
        <v>0.48647094852614381</v>
      </c>
      <c r="I7" s="6" t="s">
        <v>37</v>
      </c>
      <c r="J7" s="6">
        <v>6.5409053253877275E-2</v>
      </c>
    </row>
    <row r="8" spans="1:10" ht="16">
      <c r="A8">
        <v>2020</v>
      </c>
      <c r="B8" s="12">
        <v>828950</v>
      </c>
      <c r="C8" s="3">
        <v>221487</v>
      </c>
      <c r="D8" s="3">
        <v>251216</v>
      </c>
      <c r="E8" s="13">
        <f>(Sentinel!G6+Kansanshi!G12)/'General analysis '!B8</f>
        <v>0.57024307859340129</v>
      </c>
      <c r="F8" s="3">
        <f t="shared" si="0"/>
        <v>472703</v>
      </c>
      <c r="G8" s="13">
        <f t="shared" si="1"/>
        <v>0.46855425076633744</v>
      </c>
      <c r="H8" s="13">
        <f t="shared" si="2"/>
        <v>0.53144574923366261</v>
      </c>
      <c r="I8" s="6" t="s">
        <v>38</v>
      </c>
      <c r="J8" s="6">
        <v>4.2783442475685541E-3</v>
      </c>
    </row>
    <row r="9" spans="1:10" ht="16">
      <c r="A9">
        <v>2021</v>
      </c>
      <c r="B9" s="12">
        <v>803750</v>
      </c>
      <c r="C9" s="3">
        <v>202159</v>
      </c>
      <c r="D9" s="3">
        <v>232688</v>
      </c>
      <c r="E9" s="13">
        <f>(Sentinel!H6+Kansanshi!H12)/'General analysis '!B9</f>
        <v>0.54102270606531877</v>
      </c>
      <c r="F9" s="3">
        <f t="shared" si="0"/>
        <v>434847</v>
      </c>
      <c r="G9" s="13">
        <f t="shared" si="1"/>
        <v>0.46489684877669618</v>
      </c>
      <c r="H9" s="13">
        <f t="shared" si="2"/>
        <v>0.53510315122330387</v>
      </c>
      <c r="I9" s="6" t="s">
        <v>39</v>
      </c>
      <c r="J9" s="6">
        <v>2.6390936290822395</v>
      </c>
    </row>
    <row r="10" spans="1:10" ht="16">
      <c r="A10">
        <v>2022</v>
      </c>
      <c r="B10" s="12">
        <v>763550</v>
      </c>
      <c r="C10" s="3">
        <v>146282</v>
      </c>
      <c r="D10" s="3">
        <v>242451</v>
      </c>
      <c r="E10" s="13">
        <f>(Sentinel!I6+Kansanshi!I12)/'General analysis '!B10</f>
        <v>0.50911269726933406</v>
      </c>
      <c r="F10" s="3">
        <f t="shared" si="0"/>
        <v>388733</v>
      </c>
      <c r="G10" s="13">
        <f t="shared" si="1"/>
        <v>0.3763045586559412</v>
      </c>
      <c r="H10" s="13">
        <f t="shared" si="2"/>
        <v>0.62369544134405874</v>
      </c>
      <c r="I10" s="6" t="s">
        <v>40</v>
      </c>
      <c r="J10" s="6">
        <v>-1.4589852581976839</v>
      </c>
    </row>
    <row r="11" spans="1:10" ht="16">
      <c r="A11">
        <v>2023</v>
      </c>
      <c r="B11" s="12">
        <v>732580</v>
      </c>
      <c r="C11" s="3">
        <v>134827</v>
      </c>
      <c r="D11" s="3">
        <v>214046</v>
      </c>
      <c r="E11" s="13">
        <f>(Sentinel!J6+Kansanshi!J12)/'General analysis '!B11</f>
        <v>0.47622512217095742</v>
      </c>
      <c r="F11" s="3">
        <f t="shared" si="0"/>
        <v>348873</v>
      </c>
      <c r="G11" s="13">
        <f t="shared" si="1"/>
        <v>0.38646441541764481</v>
      </c>
      <c r="H11" s="13">
        <f t="shared" si="2"/>
        <v>0.61353558458235513</v>
      </c>
      <c r="I11" s="6" t="s">
        <v>41</v>
      </c>
      <c r="J11" s="6">
        <v>0.22134643527151499</v>
      </c>
    </row>
    <row r="12" spans="1:10" ht="16">
      <c r="A12">
        <v>2024</v>
      </c>
      <c r="B12" s="12">
        <v>820680</v>
      </c>
      <c r="C12" s="3">
        <v>170929</v>
      </c>
      <c r="D12" s="3">
        <v>230792</v>
      </c>
      <c r="E12" s="13">
        <f>(Sentinel!K6+Kansanshi!K12)/'General analysis '!B12</f>
        <v>0.48949773358678167</v>
      </c>
      <c r="F12" s="3">
        <f t="shared" si="0"/>
        <v>401721</v>
      </c>
      <c r="G12" s="13">
        <f t="shared" si="1"/>
        <v>0.42549182143826186</v>
      </c>
      <c r="H12" s="13">
        <f t="shared" si="2"/>
        <v>0.57450817856173808</v>
      </c>
      <c r="I12" s="6" t="s">
        <v>42</v>
      </c>
      <c r="J12" s="6">
        <v>0.36540897320423327</v>
      </c>
    </row>
    <row r="13" spans="1:10">
      <c r="I13" s="6" t="s">
        <v>43</v>
      </c>
      <c r="J13" s="6">
        <v>0.58675540847574825</v>
      </c>
    </row>
    <row r="14" spans="1:10">
      <c r="I14" s="6" t="s">
        <v>44</v>
      </c>
      <c r="J14" s="6">
        <v>5.1789166094863237</v>
      </c>
    </row>
    <row r="15" spans="1:10" ht="16" thickBot="1">
      <c r="A15" t="s">
        <v>12</v>
      </c>
      <c r="B15" t="s">
        <v>65</v>
      </c>
      <c r="C15" t="s">
        <v>66</v>
      </c>
      <c r="I15" s="7" t="s">
        <v>45</v>
      </c>
      <c r="J15" s="7">
        <v>10</v>
      </c>
    </row>
    <row r="16" spans="1:10">
      <c r="A16">
        <v>2015</v>
      </c>
      <c r="B16" s="13">
        <f>(D3/B3)</f>
        <v>4.640142985814006E-2</v>
      </c>
      <c r="C16" s="13">
        <f>C3/B3</f>
        <v>0.31900754334609321</v>
      </c>
    </row>
    <row r="17" spans="1:12">
      <c r="A17">
        <v>2016</v>
      </c>
      <c r="B17" s="13">
        <f t="shared" ref="B17:B25" si="3">(D4/B4)</f>
        <v>0.18115989047353326</v>
      </c>
      <c r="C17" s="13">
        <f t="shared" ref="C17:C25" si="4">C4/B4</f>
        <v>0.32867283510037765</v>
      </c>
    </row>
    <row r="18" spans="1:12">
      <c r="A18">
        <v>2017</v>
      </c>
      <c r="B18" s="13">
        <f t="shared" si="3"/>
        <v>0.24237413089624141</v>
      </c>
      <c r="C18" s="13">
        <f t="shared" si="4"/>
        <v>0.31878916527906653</v>
      </c>
    </row>
    <row r="19" spans="1:12">
      <c r="A19">
        <v>2018</v>
      </c>
      <c r="B19" s="13">
        <f t="shared" si="3"/>
        <v>0.27617307122394547</v>
      </c>
      <c r="C19" s="13">
        <f t="shared" si="4"/>
        <v>0.31058233725180284</v>
      </c>
    </row>
    <row r="20" spans="1:12">
      <c r="A20">
        <v>2019</v>
      </c>
      <c r="B20" s="13">
        <f t="shared" si="3"/>
        <v>0.27712054414913717</v>
      </c>
      <c r="C20" s="13">
        <f t="shared" si="4"/>
        <v>0.29253432422219422</v>
      </c>
    </row>
    <row r="21" spans="1:12">
      <c r="A21">
        <v>2020</v>
      </c>
      <c r="B21" s="13">
        <f t="shared" si="3"/>
        <v>0.30305326014838047</v>
      </c>
      <c r="C21" s="13">
        <f t="shared" si="4"/>
        <v>0.26718981844502082</v>
      </c>
    </row>
    <row r="22" spans="1:12">
      <c r="A22">
        <v>2021</v>
      </c>
      <c r="B22" s="13">
        <f t="shared" si="3"/>
        <v>0.28950295489891137</v>
      </c>
      <c r="C22" s="13">
        <f t="shared" si="4"/>
        <v>0.25151975116640746</v>
      </c>
    </row>
    <row r="23" spans="1:12">
      <c r="A23">
        <v>2022</v>
      </c>
      <c r="B23" s="13">
        <f t="shared" si="3"/>
        <v>0.31753126841726148</v>
      </c>
      <c r="C23" s="13">
        <f t="shared" si="4"/>
        <v>0.19158142885207255</v>
      </c>
    </row>
    <row r="24" spans="1:12">
      <c r="A24">
        <v>2023</v>
      </c>
      <c r="B24" s="13">
        <f t="shared" si="3"/>
        <v>0.29218105872396188</v>
      </c>
      <c r="C24" s="13">
        <f t="shared" si="4"/>
        <v>0.18404406344699556</v>
      </c>
    </row>
    <row r="25" spans="1:12">
      <c r="A25">
        <v>2024</v>
      </c>
      <c r="B25" s="13">
        <f t="shared" si="3"/>
        <v>0.28122045133304091</v>
      </c>
      <c r="C25" s="13">
        <f t="shared" si="4"/>
        <v>0.20827728225374081</v>
      </c>
    </row>
    <row r="29" spans="1:12" ht="16" thickBot="1"/>
    <row r="30" spans="1:12">
      <c r="A30" s="9" t="s">
        <v>61</v>
      </c>
      <c r="B30" s="9"/>
      <c r="C30" s="9" t="s">
        <v>63</v>
      </c>
      <c r="D30" s="9"/>
      <c r="E30" s="9" t="s">
        <v>64</v>
      </c>
      <c r="F30" s="9"/>
      <c r="G30" s="9" t="s">
        <v>67</v>
      </c>
      <c r="H30" s="9"/>
      <c r="I30" s="9" t="s">
        <v>68</v>
      </c>
      <c r="J30" s="9"/>
      <c r="L30" s="9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 t="s">
        <v>33</v>
      </c>
      <c r="B32" s="6">
        <v>406830.5</v>
      </c>
      <c r="C32" s="6" t="s">
        <v>33</v>
      </c>
      <c r="D32" s="6">
        <v>0.52503319246150426</v>
      </c>
      <c r="E32" s="6" t="s">
        <v>33</v>
      </c>
      <c r="F32" s="6">
        <v>0.47496680753849585</v>
      </c>
      <c r="G32" s="6" t="s">
        <v>33</v>
      </c>
      <c r="H32" s="6">
        <v>0.25067180601225536</v>
      </c>
      <c r="I32" s="6" t="s">
        <v>33</v>
      </c>
      <c r="J32" s="6">
        <v>0.26721985493637718</v>
      </c>
      <c r="K32" s="6"/>
      <c r="L32" s="6"/>
    </row>
    <row r="33" spans="1:12">
      <c r="A33" s="6" t="s">
        <v>34</v>
      </c>
      <c r="B33" s="6">
        <v>20717.761012796083</v>
      </c>
      <c r="C33" s="6" t="s">
        <v>34</v>
      </c>
      <c r="D33" s="6">
        <v>4.6600480157498604E-2</v>
      </c>
      <c r="E33" s="6" t="s">
        <v>34</v>
      </c>
      <c r="F33" s="6">
        <v>4.6600480157498493E-2</v>
      </c>
      <c r="G33" s="6" t="s">
        <v>34</v>
      </c>
      <c r="H33" s="6">
        <v>2.5680752634943869E-2</v>
      </c>
      <c r="I33" s="6" t="s">
        <v>34</v>
      </c>
      <c r="J33" s="6">
        <v>1.7638045767374582E-2</v>
      </c>
      <c r="K33" s="6"/>
      <c r="L33" s="6"/>
    </row>
    <row r="34" spans="1:12">
      <c r="A34" s="6" t="s">
        <v>35</v>
      </c>
      <c r="B34" s="6">
        <v>418284</v>
      </c>
      <c r="C34" s="6" t="s">
        <v>35</v>
      </c>
      <c r="D34" s="6">
        <v>0.49104165112009679</v>
      </c>
      <c r="E34" s="6" t="s">
        <v>35</v>
      </c>
      <c r="F34" s="6">
        <v>0.50895834887990321</v>
      </c>
      <c r="G34" s="6" t="s">
        <v>35</v>
      </c>
      <c r="H34" s="6">
        <v>0.27917049774108904</v>
      </c>
      <c r="I34" s="6" t="s">
        <v>35</v>
      </c>
      <c r="J34" s="6">
        <v>0.27986207133360752</v>
      </c>
      <c r="K34" s="6"/>
      <c r="L34" s="6"/>
    </row>
    <row r="35" spans="1:12">
      <c r="A35" s="6" t="s">
        <v>36</v>
      </c>
      <c r="B35" s="6" t="e">
        <v>#N/A</v>
      </c>
      <c r="C35" s="6" t="s">
        <v>36</v>
      </c>
      <c r="D35" s="6" t="e">
        <v>#N/A</v>
      </c>
      <c r="E35" s="6" t="s">
        <v>36</v>
      </c>
      <c r="F35" s="6" t="e">
        <v>#N/A</v>
      </c>
      <c r="G35" s="6" t="s">
        <v>36</v>
      </c>
      <c r="H35" s="6" t="e">
        <v>#N/A</v>
      </c>
      <c r="I35" s="6" t="s">
        <v>36</v>
      </c>
      <c r="J35" s="6" t="e">
        <v>#N/A</v>
      </c>
      <c r="K35" s="6"/>
      <c r="L35" s="6"/>
    </row>
    <row r="36" spans="1:12">
      <c r="A36" s="6" t="s">
        <v>37</v>
      </c>
      <c r="B36" s="6">
        <v>65515.31281947247</v>
      </c>
      <c r="C36" s="6" t="s">
        <v>37</v>
      </c>
      <c r="D36" s="6">
        <v>0.14736365735517767</v>
      </c>
      <c r="E36" s="6" t="s">
        <v>37</v>
      </c>
      <c r="F36" s="6">
        <v>0.14736365735517734</v>
      </c>
      <c r="G36" s="6" t="s">
        <v>37</v>
      </c>
      <c r="H36" s="6">
        <v>8.1209670353793242E-2</v>
      </c>
      <c r="I36" s="6" t="s">
        <v>37</v>
      </c>
      <c r="J36" s="6">
        <v>5.577639809919608E-2</v>
      </c>
      <c r="K36" s="6"/>
      <c r="L36" s="6"/>
    </row>
    <row r="37" spans="1:12">
      <c r="A37" s="6" t="s">
        <v>38</v>
      </c>
      <c r="B37" s="6">
        <v>4292256213.8333335</v>
      </c>
      <c r="C37" s="6" t="s">
        <v>38</v>
      </c>
      <c r="D37" s="6">
        <v>2.171604750909421E-2</v>
      </c>
      <c r="E37" s="6" t="s">
        <v>38</v>
      </c>
      <c r="F37" s="6">
        <v>2.1716047509094109E-2</v>
      </c>
      <c r="G37" s="6" t="s">
        <v>38</v>
      </c>
      <c r="H37" s="6">
        <v>6.5950105589717639E-3</v>
      </c>
      <c r="I37" s="6" t="s">
        <v>38</v>
      </c>
      <c r="J37" s="6">
        <v>3.1110065849200039E-3</v>
      </c>
      <c r="K37" s="6"/>
      <c r="L37" s="6"/>
    </row>
    <row r="38" spans="1:12">
      <c r="A38" s="6" t="s">
        <v>39</v>
      </c>
      <c r="B38" s="6">
        <v>1.9121646939666261</v>
      </c>
      <c r="C38" s="6" t="s">
        <v>39</v>
      </c>
      <c r="D38" s="6">
        <v>2.9966104754166842</v>
      </c>
      <c r="E38" s="6" t="s">
        <v>39</v>
      </c>
      <c r="F38" s="6">
        <v>2.996610475416686</v>
      </c>
      <c r="G38" s="6" t="s">
        <v>39</v>
      </c>
      <c r="H38" s="6">
        <v>4.6880068010279698</v>
      </c>
      <c r="I38" s="6" t="s">
        <v>39</v>
      </c>
      <c r="J38" s="6">
        <v>-1.5159882080795914</v>
      </c>
      <c r="K38" s="6"/>
      <c r="L38" s="6"/>
    </row>
    <row r="39" spans="1:12">
      <c r="A39" s="6" t="s">
        <v>40</v>
      </c>
      <c r="B39" s="6">
        <v>-1.2987698659133249</v>
      </c>
      <c r="C39" s="6" t="s">
        <v>40</v>
      </c>
      <c r="D39" s="6">
        <v>1.5881902891198594</v>
      </c>
      <c r="E39" s="6" t="s">
        <v>40</v>
      </c>
      <c r="F39" s="6">
        <v>-1.5881902891198616</v>
      </c>
      <c r="G39" s="6" t="s">
        <v>40</v>
      </c>
      <c r="H39" s="6">
        <v>-2.1325959310444773</v>
      </c>
      <c r="I39" s="6" t="s">
        <v>40</v>
      </c>
      <c r="J39" s="6">
        <v>-0.48901466712780522</v>
      </c>
      <c r="K39" s="6"/>
      <c r="L39" s="6"/>
    </row>
    <row r="40" spans="1:12" ht="16" thickBot="1">
      <c r="A40" s="6" t="s">
        <v>41</v>
      </c>
      <c r="B40" s="6">
        <v>215533</v>
      </c>
      <c r="C40" s="6" t="s">
        <v>41</v>
      </c>
      <c r="D40" s="6">
        <v>0.49671051962401797</v>
      </c>
      <c r="E40" s="6" t="s">
        <v>41</v>
      </c>
      <c r="F40" s="6">
        <v>0.49671051962401791</v>
      </c>
      <c r="G40" s="6" t="s">
        <v>41</v>
      </c>
      <c r="H40" s="6">
        <v>0.27112983855912143</v>
      </c>
      <c r="I40" s="6" t="s">
        <v>41</v>
      </c>
      <c r="J40" s="6">
        <v>0.14462877165338209</v>
      </c>
      <c r="K40" s="6"/>
      <c r="L40" s="6"/>
    </row>
    <row r="41" spans="1:12">
      <c r="A41" s="6" t="s">
        <v>42</v>
      </c>
      <c r="B41" s="6">
        <v>259645</v>
      </c>
      <c r="C41" s="6" t="s">
        <v>42</v>
      </c>
      <c r="D41" s="6">
        <v>0.3763045586559412</v>
      </c>
      <c r="E41" s="6" t="s">
        <v>42</v>
      </c>
      <c r="F41" s="6">
        <v>0.12698492172004083</v>
      </c>
      <c r="G41" s="6" t="s">
        <v>42</v>
      </c>
      <c r="H41" s="6">
        <v>4.640142985814006E-2</v>
      </c>
      <c r="I41" s="6" t="s">
        <v>42</v>
      </c>
      <c r="J41" s="6">
        <v>0.18404406344699556</v>
      </c>
      <c r="K41" s="6"/>
      <c r="L41" s="9"/>
    </row>
    <row r="42" spans="1:12">
      <c r="A42" s="6" t="s">
        <v>43</v>
      </c>
      <c r="B42" s="6">
        <v>475178</v>
      </c>
      <c r="C42" s="6" t="s">
        <v>43</v>
      </c>
      <c r="D42" s="6">
        <v>0.87301507827995917</v>
      </c>
      <c r="E42" s="6" t="s">
        <v>43</v>
      </c>
      <c r="F42" s="6">
        <v>0.62369544134405874</v>
      </c>
      <c r="G42" s="6" t="s">
        <v>43</v>
      </c>
      <c r="H42" s="6">
        <v>0.31753126841726148</v>
      </c>
      <c r="I42" s="6" t="s">
        <v>43</v>
      </c>
      <c r="J42" s="6">
        <v>0.32867283510037765</v>
      </c>
      <c r="K42" s="6"/>
      <c r="L42" s="6"/>
    </row>
    <row r="43" spans="1:12">
      <c r="A43" s="6" t="s">
        <v>44</v>
      </c>
      <c r="B43" s="6">
        <v>4068305</v>
      </c>
      <c r="C43" s="6" t="s">
        <v>44</v>
      </c>
      <c r="D43" s="6">
        <v>5.2503319246150424</v>
      </c>
      <c r="E43" s="6" t="s">
        <v>44</v>
      </c>
      <c r="F43" s="6">
        <v>4.7496680753849585</v>
      </c>
      <c r="G43" s="6" t="s">
        <v>44</v>
      </c>
      <c r="H43" s="6">
        <v>2.5067180601225534</v>
      </c>
      <c r="I43" s="6" t="s">
        <v>44</v>
      </c>
      <c r="J43" s="6">
        <v>2.6721985493637717</v>
      </c>
      <c r="K43" s="6"/>
      <c r="L43" s="6"/>
    </row>
    <row r="44" spans="1:12" ht="16" thickBot="1">
      <c r="A44" s="7" t="s">
        <v>45</v>
      </c>
      <c r="B44" s="7">
        <v>10</v>
      </c>
      <c r="C44" s="7" t="s">
        <v>45</v>
      </c>
      <c r="D44" s="7">
        <v>10</v>
      </c>
      <c r="E44" s="7" t="s">
        <v>45</v>
      </c>
      <c r="F44" s="7">
        <v>10</v>
      </c>
      <c r="G44" s="7" t="s">
        <v>45</v>
      </c>
      <c r="H44" s="7">
        <v>10</v>
      </c>
      <c r="I44" s="7" t="s">
        <v>45</v>
      </c>
      <c r="J44" s="7">
        <v>10</v>
      </c>
      <c r="K44" s="7"/>
      <c r="L4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24AC-4732-5240-958E-94F98458AC8A}">
  <dimension ref="A1:G31"/>
  <sheetViews>
    <sheetView workbookViewId="0">
      <selection activeCell="A23" sqref="A23:G23"/>
    </sheetView>
  </sheetViews>
  <sheetFormatPr baseColWidth="10" defaultRowHeight="15"/>
  <cols>
    <col min="2" max="2" width="16.33203125" bestFit="1" customWidth="1"/>
    <col min="3" max="3" width="25.1640625" bestFit="1" customWidth="1"/>
    <col min="4" max="4" width="29.5" bestFit="1" customWidth="1"/>
    <col min="5" max="5" width="23.6640625" bestFit="1" customWidth="1"/>
    <col min="6" max="7" width="11.1640625" bestFit="1" customWidth="1"/>
  </cols>
  <sheetData>
    <row r="1" spans="1:7">
      <c r="B1" s="27" t="s">
        <v>116</v>
      </c>
      <c r="C1" s="27"/>
      <c r="D1" s="27"/>
      <c r="E1" s="27"/>
      <c r="F1" s="27"/>
      <c r="G1" s="27"/>
    </row>
    <row r="2" spans="1:7">
      <c r="A2" t="s">
        <v>12</v>
      </c>
      <c r="B2" t="s">
        <v>15</v>
      </c>
      <c r="C2" t="s">
        <v>14</v>
      </c>
      <c r="D2" t="s">
        <v>13</v>
      </c>
      <c r="E2" t="s">
        <v>113</v>
      </c>
      <c r="F2" t="s">
        <v>114</v>
      </c>
      <c r="G2" t="s">
        <v>115</v>
      </c>
    </row>
    <row r="3" spans="1:7">
      <c r="A3">
        <v>2025</v>
      </c>
      <c r="B3">
        <v>88</v>
      </c>
      <c r="C3">
        <v>0.5</v>
      </c>
      <c r="D3" s="3">
        <v>53000</v>
      </c>
      <c r="E3" s="19">
        <f>-113731.2701 + (1783.343899*B3)+(47408.88358*C3)+(3.068533632*D3)</f>
        <v>229539.717298</v>
      </c>
      <c r="F3">
        <f>(E3)-(1.96*6980.736793)</f>
        <v>215857.47318371999</v>
      </c>
      <c r="G3">
        <f>(E3)+(1.96*6980.736793)</f>
        <v>243221.96141228001</v>
      </c>
    </row>
    <row r="4" spans="1:7">
      <c r="A4">
        <v>2026</v>
      </c>
      <c r="B4">
        <v>88</v>
      </c>
      <c r="C4">
        <v>0.49</v>
      </c>
      <c r="D4" s="3">
        <v>52000</v>
      </c>
      <c r="E4" s="19">
        <f t="shared" ref="E4:E9" si="0">-113731.2701 + (1783.343899*B4)+(47408.88358*C4)+(3.068533632*D4)</f>
        <v>225997.09483019999</v>
      </c>
      <c r="F4">
        <f t="shared" ref="F4:F9" si="1">(E4)-(1.96*6980.736793)</f>
        <v>212314.85071591998</v>
      </c>
      <c r="G4">
        <f t="shared" ref="G4:G8" si="2">(E4)+(1.96*6980.736793)</f>
        <v>239679.33894448</v>
      </c>
    </row>
    <row r="5" spans="1:7">
      <c r="A5">
        <v>2027</v>
      </c>
      <c r="B5">
        <v>88</v>
      </c>
      <c r="C5">
        <v>0.48</v>
      </c>
      <c r="D5" s="3">
        <v>54000</v>
      </c>
      <c r="E5" s="19">
        <f t="shared" si="0"/>
        <v>231660.07325839999</v>
      </c>
      <c r="F5">
        <f t="shared" si="1"/>
        <v>217977.82914411998</v>
      </c>
      <c r="G5">
        <f t="shared" si="2"/>
        <v>245342.31737268</v>
      </c>
    </row>
    <row r="6" spans="1:7">
      <c r="A6">
        <v>2028</v>
      </c>
      <c r="B6">
        <v>89</v>
      </c>
      <c r="C6">
        <v>0.47</v>
      </c>
      <c r="D6" s="3">
        <v>55000</v>
      </c>
      <c r="E6" s="19">
        <f t="shared" si="0"/>
        <v>236037.86195359996</v>
      </c>
      <c r="F6">
        <f t="shared" si="1"/>
        <v>222355.61783931995</v>
      </c>
      <c r="G6">
        <f t="shared" si="2"/>
        <v>249720.10606787997</v>
      </c>
    </row>
    <row r="7" spans="1:7">
      <c r="A7">
        <v>2029</v>
      </c>
      <c r="B7">
        <v>89</v>
      </c>
      <c r="C7">
        <v>0.46</v>
      </c>
      <c r="D7" s="3">
        <v>53000</v>
      </c>
      <c r="E7" s="19">
        <f t="shared" si="0"/>
        <v>229426.7058538</v>
      </c>
      <c r="F7">
        <f t="shared" si="1"/>
        <v>215744.46173951999</v>
      </c>
      <c r="G7">
        <f t="shared" si="2"/>
        <v>243108.94996808001</v>
      </c>
    </row>
    <row r="8" spans="1:7">
      <c r="A8">
        <v>2030</v>
      </c>
      <c r="B8">
        <v>89</v>
      </c>
      <c r="C8">
        <v>0.5</v>
      </c>
      <c r="D8" s="3">
        <v>55000</v>
      </c>
      <c r="E8" s="19">
        <f t="shared" si="0"/>
        <v>237460.12846099999</v>
      </c>
      <c r="F8">
        <f t="shared" si="1"/>
        <v>223777.88434671998</v>
      </c>
      <c r="G8">
        <f t="shared" si="2"/>
        <v>251142.37257527999</v>
      </c>
    </row>
    <row r="9" spans="1:7">
      <c r="A9">
        <v>2031</v>
      </c>
      <c r="B9">
        <v>89</v>
      </c>
      <c r="C9">
        <v>0.5</v>
      </c>
      <c r="D9" s="3">
        <v>55000</v>
      </c>
      <c r="E9" s="19">
        <f t="shared" si="0"/>
        <v>237460.12846099999</v>
      </c>
      <c r="F9">
        <f t="shared" si="1"/>
        <v>223777.88434671998</v>
      </c>
      <c r="G9">
        <f>(E9)+(1.96*6980.736793)</f>
        <v>251142.37257527999</v>
      </c>
    </row>
    <row r="10" spans="1:7">
      <c r="D10" s="3"/>
    </row>
    <row r="11" spans="1:7">
      <c r="D11" s="3"/>
    </row>
    <row r="12" spans="1:7">
      <c r="A12" s="27" t="s">
        <v>132</v>
      </c>
      <c r="B12" s="27"/>
      <c r="C12" s="27"/>
      <c r="D12" s="27"/>
      <c r="E12" s="27"/>
      <c r="F12" s="27"/>
      <c r="G12" s="27"/>
    </row>
    <row r="13" spans="1:7">
      <c r="A13" t="s">
        <v>12</v>
      </c>
      <c r="B13" t="s">
        <v>15</v>
      </c>
      <c r="C13" t="s">
        <v>14</v>
      </c>
      <c r="D13" t="s">
        <v>13</v>
      </c>
      <c r="E13" t="s">
        <v>113</v>
      </c>
      <c r="F13" t="s">
        <v>114</v>
      </c>
      <c r="G13" t="s">
        <v>115</v>
      </c>
    </row>
    <row r="14" spans="1:7">
      <c r="A14">
        <v>2025</v>
      </c>
      <c r="B14">
        <v>90</v>
      </c>
      <c r="C14">
        <v>0.49</v>
      </c>
      <c r="D14" s="3">
        <v>54000</v>
      </c>
      <c r="E14" s="19">
        <f>-113731.2701+(1783.343899*B14)+(47408.88358*C14)+(3.068533632*D14)</f>
        <v>235700.8498922</v>
      </c>
      <c r="F14">
        <f>(E14)-(1.96*6980.74)</f>
        <v>222018.59949220001</v>
      </c>
      <c r="G14">
        <f>(E14)+(1.96*6980.74)</f>
        <v>249383.10029219999</v>
      </c>
    </row>
    <row r="15" spans="1:7">
      <c r="A15">
        <v>2026</v>
      </c>
      <c r="B15">
        <v>90</v>
      </c>
      <c r="C15">
        <v>0.49</v>
      </c>
      <c r="D15" s="3">
        <v>55000</v>
      </c>
      <c r="E15" s="19">
        <f t="shared" ref="E15:E20" si="3">-113731.2701+(1783.343899*B15)+(47408.88358*C15)+(3.068533632*D15)</f>
        <v>238769.38352419998</v>
      </c>
      <c r="F15">
        <f t="shared" ref="F15:F20" si="4">(E15)-(1.96*6980.74)</f>
        <v>225087.13312419999</v>
      </c>
      <c r="G15">
        <f t="shared" ref="G15:G20" si="5">(E15)+(1.96*6980.74)</f>
        <v>252451.63392419997</v>
      </c>
    </row>
    <row r="16" spans="1:7">
      <c r="A16">
        <v>2027</v>
      </c>
      <c r="B16">
        <v>90</v>
      </c>
      <c r="C16">
        <v>0.5</v>
      </c>
      <c r="D16" s="3">
        <v>56000</v>
      </c>
      <c r="E16" s="19">
        <f t="shared" si="3"/>
        <v>242312.00599199999</v>
      </c>
      <c r="F16">
        <f t="shared" si="4"/>
        <v>228629.755592</v>
      </c>
      <c r="G16">
        <f t="shared" si="5"/>
        <v>255994.25639199998</v>
      </c>
    </row>
    <row r="17" spans="1:7">
      <c r="A17">
        <v>2028</v>
      </c>
      <c r="B17">
        <v>91</v>
      </c>
      <c r="C17">
        <v>0.5</v>
      </c>
      <c r="D17" s="3">
        <v>57000</v>
      </c>
      <c r="E17" s="19">
        <f t="shared" si="3"/>
        <v>247163.883523</v>
      </c>
      <c r="F17">
        <f t="shared" si="4"/>
        <v>233481.63312300001</v>
      </c>
      <c r="G17">
        <f t="shared" si="5"/>
        <v>260846.13392299999</v>
      </c>
    </row>
    <row r="18" spans="1:7">
      <c r="A18">
        <v>2029</v>
      </c>
      <c r="B18">
        <v>91</v>
      </c>
      <c r="C18">
        <v>0.51</v>
      </c>
      <c r="D18" s="3">
        <v>58000</v>
      </c>
      <c r="E18" s="19">
        <f t="shared" si="3"/>
        <v>250706.50599079998</v>
      </c>
      <c r="F18">
        <f t="shared" si="4"/>
        <v>237024.25559079999</v>
      </c>
      <c r="G18">
        <f t="shared" si="5"/>
        <v>264388.7563908</v>
      </c>
    </row>
    <row r="19" spans="1:7">
      <c r="A19">
        <v>2030</v>
      </c>
      <c r="B19">
        <v>91</v>
      </c>
      <c r="C19">
        <v>0.51</v>
      </c>
      <c r="D19" s="3">
        <v>59000</v>
      </c>
      <c r="E19" s="19">
        <f t="shared" si="3"/>
        <v>253775.03962279996</v>
      </c>
      <c r="F19">
        <f t="shared" si="4"/>
        <v>240092.78922279997</v>
      </c>
      <c r="G19">
        <f t="shared" si="5"/>
        <v>267457.29002279998</v>
      </c>
    </row>
    <row r="20" spans="1:7">
      <c r="A20">
        <v>2031</v>
      </c>
      <c r="B20">
        <v>91</v>
      </c>
      <c r="C20">
        <v>0.51</v>
      </c>
      <c r="D20" s="3">
        <v>59000</v>
      </c>
      <c r="E20" s="19">
        <f t="shared" si="3"/>
        <v>253775.03962279996</v>
      </c>
      <c r="F20">
        <f t="shared" si="4"/>
        <v>240092.78922279997</v>
      </c>
      <c r="G20">
        <f t="shared" si="5"/>
        <v>267457.29002279998</v>
      </c>
    </row>
    <row r="23" spans="1:7">
      <c r="A23" s="27" t="s">
        <v>117</v>
      </c>
      <c r="B23" s="27"/>
      <c r="C23" s="27"/>
      <c r="D23" s="27"/>
      <c r="E23" s="27"/>
      <c r="F23" s="27"/>
      <c r="G23" s="27"/>
    </row>
    <row r="24" spans="1:7">
      <c r="A24" t="s">
        <v>12</v>
      </c>
      <c r="B24" t="s">
        <v>15</v>
      </c>
      <c r="C24" t="s">
        <v>14</v>
      </c>
      <c r="D24" t="s">
        <v>13</v>
      </c>
      <c r="E24" t="s">
        <v>113</v>
      </c>
      <c r="F24" t="s">
        <v>114</v>
      </c>
      <c r="G24" t="s">
        <v>115</v>
      </c>
    </row>
    <row r="25" spans="1:7">
      <c r="A25">
        <v>2025</v>
      </c>
      <c r="B25">
        <v>91</v>
      </c>
      <c r="C25">
        <v>0.51</v>
      </c>
      <c r="D25" s="3">
        <v>56000</v>
      </c>
      <c r="E25" s="19">
        <f>-113731.2701+(1783.343899*B25)+(47408.88358*C25)+(3.068533632*D25)</f>
        <v>244569.43872679997</v>
      </c>
      <c r="F25">
        <f>(E25)-(1.96*6980.74)</f>
        <v>230887.18832679998</v>
      </c>
      <c r="G25">
        <f>(E25)+(1.96*6980.74)</f>
        <v>258251.68912679996</v>
      </c>
    </row>
    <row r="26" spans="1:7">
      <c r="A26">
        <v>2026</v>
      </c>
      <c r="B26">
        <v>91</v>
      </c>
      <c r="C26">
        <v>0.52</v>
      </c>
      <c r="D26" s="3">
        <v>57000</v>
      </c>
      <c r="E26" s="19">
        <f t="shared" ref="E26:E31" si="6">-113731.2701+(1783.343899*B26)+(47408.88358*C26)+(3.068533632*D26)</f>
        <v>248112.06119459998</v>
      </c>
      <c r="F26">
        <f t="shared" ref="F26:F31" si="7">(E26)-(1.96*6980.74)</f>
        <v>234429.81079459999</v>
      </c>
      <c r="G26">
        <f t="shared" ref="G26:G31" si="8">(E26)+(1.96*6980.74)</f>
        <v>261794.31159459997</v>
      </c>
    </row>
    <row r="27" spans="1:7">
      <c r="A27">
        <v>2027</v>
      </c>
      <c r="B27">
        <v>92</v>
      </c>
      <c r="C27">
        <v>0.53</v>
      </c>
      <c r="D27" s="3">
        <v>58000</v>
      </c>
      <c r="E27" s="19">
        <f t="shared" si="6"/>
        <v>253438.0275614</v>
      </c>
      <c r="F27">
        <f t="shared" si="7"/>
        <v>239755.77716140001</v>
      </c>
      <c r="G27">
        <f t="shared" si="8"/>
        <v>267120.27796139999</v>
      </c>
    </row>
    <row r="28" spans="1:7">
      <c r="A28">
        <v>2028</v>
      </c>
      <c r="B28">
        <v>92</v>
      </c>
      <c r="C28">
        <v>0.54</v>
      </c>
      <c r="D28" s="3">
        <v>59000</v>
      </c>
      <c r="E28" s="19">
        <f t="shared" si="6"/>
        <v>256980.65002919995</v>
      </c>
      <c r="F28">
        <f t="shared" si="7"/>
        <v>243298.39962919996</v>
      </c>
      <c r="G28">
        <f t="shared" si="8"/>
        <v>270662.90042919997</v>
      </c>
    </row>
    <row r="29" spans="1:7">
      <c r="A29">
        <v>2029</v>
      </c>
      <c r="B29">
        <v>93</v>
      </c>
      <c r="C29">
        <v>0.55000000000000004</v>
      </c>
      <c r="D29" s="3">
        <v>60000</v>
      </c>
      <c r="E29" s="19">
        <f t="shared" si="6"/>
        <v>262306.61639599997</v>
      </c>
      <c r="F29">
        <f t="shared" si="7"/>
        <v>248624.36599599998</v>
      </c>
      <c r="G29">
        <f t="shared" si="8"/>
        <v>275988.86679599999</v>
      </c>
    </row>
    <row r="30" spans="1:7">
      <c r="A30">
        <v>2030</v>
      </c>
      <c r="B30">
        <v>93</v>
      </c>
      <c r="C30">
        <v>0.55000000000000004</v>
      </c>
      <c r="D30" s="3">
        <v>61000</v>
      </c>
      <c r="E30" s="19">
        <f t="shared" si="6"/>
        <v>265375.150028</v>
      </c>
      <c r="F30">
        <f t="shared" si="7"/>
        <v>251692.89962800001</v>
      </c>
      <c r="G30">
        <f t="shared" si="8"/>
        <v>279057.40042800002</v>
      </c>
    </row>
    <row r="31" spans="1:7">
      <c r="A31">
        <v>2031</v>
      </c>
      <c r="B31">
        <v>94</v>
      </c>
      <c r="C31">
        <v>0.54</v>
      </c>
      <c r="D31" s="3">
        <v>62000</v>
      </c>
      <c r="E31" s="19">
        <f t="shared" si="6"/>
        <v>269752.9387232</v>
      </c>
      <c r="F31">
        <f t="shared" si="7"/>
        <v>256070.68832320001</v>
      </c>
      <c r="G31">
        <f t="shared" si="8"/>
        <v>283435.18912320002</v>
      </c>
    </row>
  </sheetData>
  <mergeCells count="3">
    <mergeCell ref="B1:G1"/>
    <mergeCell ref="A12:G12"/>
    <mergeCell ref="A23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264E-61DF-4E4C-AC64-8E6D053BC358}">
  <dimension ref="A2:S60"/>
  <sheetViews>
    <sheetView workbookViewId="0">
      <selection activeCell="E50" sqref="E50"/>
    </sheetView>
  </sheetViews>
  <sheetFormatPr baseColWidth="10" defaultRowHeight="15"/>
  <cols>
    <col min="2" max="2" width="31.1640625" bestFit="1" customWidth="1"/>
    <col min="3" max="3" width="31.83203125" bestFit="1" customWidth="1"/>
    <col min="4" max="4" width="33.6640625" bestFit="1" customWidth="1"/>
    <col min="5" max="5" width="34.83203125" bestFit="1" customWidth="1"/>
    <col min="9" max="9" width="16.33203125" bestFit="1" customWidth="1"/>
    <col min="10" max="10" width="25.1640625" bestFit="1" customWidth="1"/>
    <col min="11" max="11" width="29.5" bestFit="1" customWidth="1"/>
    <col min="12" max="12" width="20.1640625" bestFit="1" customWidth="1"/>
    <col min="16" max="16" width="16.33203125" bestFit="1" customWidth="1"/>
    <col min="17" max="17" width="25.1640625" bestFit="1" customWidth="1"/>
    <col min="18" max="18" width="29.5" bestFit="1" customWidth="1"/>
    <col min="19" max="19" width="20.1640625" bestFit="1" customWidth="1"/>
  </cols>
  <sheetData>
    <row r="2" spans="1:19">
      <c r="A2" s="27" t="s">
        <v>133</v>
      </c>
      <c r="B2" s="27"/>
      <c r="C2" s="27"/>
      <c r="D2" s="27"/>
      <c r="E2" s="27"/>
      <c r="H2" s="27" t="s">
        <v>136</v>
      </c>
      <c r="I2" s="27"/>
      <c r="J2" s="27"/>
      <c r="K2" s="27"/>
      <c r="L2" s="27"/>
      <c r="O2" s="27" t="s">
        <v>139</v>
      </c>
      <c r="P2" s="27"/>
      <c r="Q2" s="27"/>
      <c r="R2" s="27"/>
      <c r="S2" s="27"/>
    </row>
    <row r="3" spans="1:19">
      <c r="A3" t="s">
        <v>118</v>
      </c>
      <c r="B3" t="s">
        <v>15</v>
      </c>
      <c r="C3" t="s">
        <v>14</v>
      </c>
      <c r="D3" t="s">
        <v>13</v>
      </c>
      <c r="E3" t="s">
        <v>119</v>
      </c>
      <c r="H3" t="s">
        <v>118</v>
      </c>
      <c r="I3" t="s">
        <v>15</v>
      </c>
      <c r="J3" t="s">
        <v>14</v>
      </c>
      <c r="K3" t="s">
        <v>13</v>
      </c>
      <c r="L3" t="s">
        <v>120</v>
      </c>
      <c r="O3" s="22" t="s">
        <v>118</v>
      </c>
      <c r="P3" s="22" t="s">
        <v>15</v>
      </c>
      <c r="Q3" s="22" t="s">
        <v>14</v>
      </c>
      <c r="R3" s="22" t="s">
        <v>13</v>
      </c>
      <c r="S3" s="22" t="s">
        <v>121</v>
      </c>
    </row>
    <row r="4" spans="1:19">
      <c r="A4" s="22">
        <v>2025</v>
      </c>
      <c r="B4">
        <v>72</v>
      </c>
      <c r="C4">
        <v>0.72</v>
      </c>
      <c r="D4" s="3">
        <v>7300</v>
      </c>
      <c r="E4" s="19">
        <f>(B4*C4*D4*0.1)</f>
        <v>37843.200000000004</v>
      </c>
      <c r="H4" s="22">
        <v>2025</v>
      </c>
      <c r="I4">
        <v>78</v>
      </c>
      <c r="J4">
        <v>0.95</v>
      </c>
      <c r="K4" s="3">
        <v>9500</v>
      </c>
      <c r="L4" s="19">
        <f>(I4*J4*K4*0.1)</f>
        <v>70395</v>
      </c>
      <c r="O4" s="22">
        <v>2025</v>
      </c>
      <c r="P4" s="22">
        <v>90</v>
      </c>
      <c r="Q4" s="22">
        <v>0.57999999999999996</v>
      </c>
      <c r="R4" s="23">
        <v>9500</v>
      </c>
      <c r="S4" s="19">
        <f>(P4*Q4*R4*0.1)</f>
        <v>49590</v>
      </c>
    </row>
    <row r="5" spans="1:19">
      <c r="A5" s="22">
        <v>2026</v>
      </c>
      <c r="B5">
        <v>70</v>
      </c>
      <c r="C5">
        <v>0.71</v>
      </c>
      <c r="D5" s="3">
        <v>7500</v>
      </c>
      <c r="E5" s="19">
        <f t="shared" ref="E5:E10" si="0">(B5*C5*D5*0.1)</f>
        <v>37274.999999999993</v>
      </c>
      <c r="H5" s="22">
        <v>2026</v>
      </c>
      <c r="I5">
        <v>77</v>
      </c>
      <c r="J5">
        <v>0.94</v>
      </c>
      <c r="K5" s="3">
        <v>9000</v>
      </c>
      <c r="L5" s="19">
        <f t="shared" ref="L5:L10" si="1">(I5*J5*K5*0.1)</f>
        <v>65142</v>
      </c>
      <c r="O5" s="22">
        <v>2026</v>
      </c>
      <c r="P5" s="22">
        <v>89</v>
      </c>
      <c r="Q5" s="22">
        <v>0.56000000000000005</v>
      </c>
      <c r="R5" s="23">
        <v>9457</v>
      </c>
      <c r="S5" s="19">
        <f t="shared" ref="S5:S10" si="2">(P5*Q5*R5*0.1)</f>
        <v>47133.688000000002</v>
      </c>
    </row>
    <row r="6" spans="1:19">
      <c r="A6" s="22">
        <v>2027</v>
      </c>
      <c r="B6">
        <v>71</v>
      </c>
      <c r="C6">
        <v>0.7</v>
      </c>
      <c r="D6" s="3">
        <v>7433</v>
      </c>
      <c r="E6" s="19">
        <f t="shared" si="0"/>
        <v>36942.01</v>
      </c>
      <c r="H6" s="22">
        <v>2027</v>
      </c>
      <c r="I6">
        <v>76</v>
      </c>
      <c r="J6">
        <v>0.93</v>
      </c>
      <c r="K6" s="3">
        <v>8700</v>
      </c>
      <c r="L6" s="19">
        <f t="shared" si="1"/>
        <v>61491.600000000013</v>
      </c>
      <c r="O6" s="22">
        <v>2027</v>
      </c>
      <c r="P6" s="22">
        <v>89</v>
      </c>
      <c r="Q6" s="22">
        <v>0.54</v>
      </c>
      <c r="R6" s="23">
        <v>9333</v>
      </c>
      <c r="S6" s="19">
        <f t="shared" si="2"/>
        <v>44854.398000000008</v>
      </c>
    </row>
    <row r="7" spans="1:19">
      <c r="A7" s="22">
        <v>2028</v>
      </c>
      <c r="B7">
        <v>69</v>
      </c>
      <c r="C7">
        <v>0.69</v>
      </c>
      <c r="D7" s="3">
        <v>7412</v>
      </c>
      <c r="E7" s="19">
        <f t="shared" si="0"/>
        <v>35288.531999999999</v>
      </c>
      <c r="H7" s="22">
        <v>2028</v>
      </c>
      <c r="I7">
        <v>75</v>
      </c>
      <c r="J7">
        <v>0.92</v>
      </c>
      <c r="K7" s="3">
        <v>8200</v>
      </c>
      <c r="L7" s="19">
        <f t="shared" si="1"/>
        <v>56580</v>
      </c>
      <c r="O7" s="22">
        <v>2028</v>
      </c>
      <c r="P7" s="22">
        <v>88</v>
      </c>
      <c r="Q7" s="22">
        <v>0.52</v>
      </c>
      <c r="R7" s="23">
        <v>9600</v>
      </c>
      <c r="S7" s="19">
        <f t="shared" si="2"/>
        <v>43929.600000000006</v>
      </c>
    </row>
    <row r="8" spans="1:19">
      <c r="A8" s="22">
        <v>2029</v>
      </c>
      <c r="B8">
        <v>68</v>
      </c>
      <c r="C8">
        <v>0.68</v>
      </c>
      <c r="D8" s="3">
        <v>7311</v>
      </c>
      <c r="E8" s="19">
        <f t="shared" si="0"/>
        <v>33806.064000000006</v>
      </c>
      <c r="H8" s="22">
        <v>2029</v>
      </c>
      <c r="I8">
        <v>74</v>
      </c>
      <c r="J8">
        <v>0.91</v>
      </c>
      <c r="K8" s="3">
        <v>7500</v>
      </c>
      <c r="L8" s="19">
        <f t="shared" si="1"/>
        <v>50505</v>
      </c>
      <c r="O8" s="22">
        <v>2029</v>
      </c>
      <c r="P8" s="22">
        <v>88</v>
      </c>
      <c r="Q8" s="22">
        <v>0.5</v>
      </c>
      <c r="R8" s="23">
        <v>9578</v>
      </c>
      <c r="S8" s="19">
        <f t="shared" si="2"/>
        <v>42143.200000000004</v>
      </c>
    </row>
    <row r="9" spans="1:19">
      <c r="A9" s="22">
        <v>2030</v>
      </c>
      <c r="B9">
        <v>67</v>
      </c>
      <c r="C9">
        <v>0.67</v>
      </c>
      <c r="D9" s="3">
        <v>7456</v>
      </c>
      <c r="E9" s="19">
        <f t="shared" si="0"/>
        <v>33469.984000000004</v>
      </c>
      <c r="H9" s="22">
        <v>2030</v>
      </c>
      <c r="I9">
        <v>73</v>
      </c>
      <c r="J9">
        <v>0.9</v>
      </c>
      <c r="K9" s="3">
        <v>7000</v>
      </c>
      <c r="L9" s="19">
        <f t="shared" si="1"/>
        <v>45990</v>
      </c>
      <c r="O9" s="22">
        <v>2030</v>
      </c>
      <c r="P9" s="22">
        <v>87</v>
      </c>
      <c r="Q9" s="22">
        <v>0.48</v>
      </c>
      <c r="R9" s="23">
        <v>9584</v>
      </c>
      <c r="S9" s="19">
        <f t="shared" si="2"/>
        <v>40022.784</v>
      </c>
    </row>
    <row r="10" spans="1:19">
      <c r="A10" s="22">
        <v>2031</v>
      </c>
      <c r="B10">
        <v>66</v>
      </c>
      <c r="C10">
        <v>0.66</v>
      </c>
      <c r="D10" s="3">
        <v>7550</v>
      </c>
      <c r="E10" s="19">
        <f t="shared" si="0"/>
        <v>32887.800000000003</v>
      </c>
      <c r="H10" s="22">
        <v>2031</v>
      </c>
      <c r="I10">
        <v>72</v>
      </c>
      <c r="J10">
        <v>0.89</v>
      </c>
      <c r="K10" s="3">
        <v>6500</v>
      </c>
      <c r="L10" s="19">
        <f t="shared" si="1"/>
        <v>41652</v>
      </c>
      <c r="O10" s="22">
        <v>2031</v>
      </c>
      <c r="P10" s="22">
        <v>87</v>
      </c>
      <c r="Q10" s="22">
        <v>0.46</v>
      </c>
      <c r="R10" s="23">
        <v>9582</v>
      </c>
      <c r="S10" s="19">
        <f t="shared" si="2"/>
        <v>38347.164000000004</v>
      </c>
    </row>
    <row r="12" spans="1:19">
      <c r="A12" s="27" t="s">
        <v>134</v>
      </c>
      <c r="B12" s="27"/>
      <c r="C12" s="27"/>
      <c r="D12" s="27"/>
      <c r="E12" s="27"/>
      <c r="H12" s="27" t="s">
        <v>137</v>
      </c>
      <c r="I12" s="27"/>
      <c r="J12" s="27"/>
      <c r="K12" s="27"/>
      <c r="L12" s="27"/>
      <c r="O12" s="27" t="s">
        <v>140</v>
      </c>
      <c r="P12" s="27"/>
      <c r="Q12" s="27"/>
      <c r="R12" s="27"/>
      <c r="S12" s="27"/>
    </row>
    <row r="13" spans="1:19">
      <c r="A13" t="s">
        <v>118</v>
      </c>
      <c r="B13" t="s">
        <v>15</v>
      </c>
      <c r="C13" t="s">
        <v>14</v>
      </c>
      <c r="D13" t="s">
        <v>13</v>
      </c>
      <c r="E13" t="s">
        <v>119</v>
      </c>
      <c r="H13" s="22" t="s">
        <v>118</v>
      </c>
      <c r="I13" s="22" t="s">
        <v>15</v>
      </c>
      <c r="J13" s="22" t="s">
        <v>14</v>
      </c>
      <c r="K13" s="22" t="s">
        <v>13</v>
      </c>
      <c r="L13" s="22" t="s">
        <v>121</v>
      </c>
      <c r="O13" s="22" t="s">
        <v>118</v>
      </c>
      <c r="P13" s="22" t="s">
        <v>15</v>
      </c>
      <c r="Q13" s="22" t="s">
        <v>14</v>
      </c>
      <c r="R13" s="22" t="s">
        <v>13</v>
      </c>
      <c r="S13" s="22" t="s">
        <v>122</v>
      </c>
    </row>
    <row r="14" spans="1:19">
      <c r="A14" s="22">
        <v>2025</v>
      </c>
      <c r="B14">
        <v>73</v>
      </c>
      <c r="C14">
        <v>0.74</v>
      </c>
      <c r="D14" s="3">
        <v>7400</v>
      </c>
      <c r="E14" s="19">
        <f>(B14*C14*D14*0.1)</f>
        <v>39974.799999999996</v>
      </c>
      <c r="H14" s="22">
        <v>2025</v>
      </c>
      <c r="I14" s="22">
        <v>81</v>
      </c>
      <c r="J14" s="22">
        <v>1</v>
      </c>
      <c r="K14" s="23">
        <v>10000</v>
      </c>
      <c r="L14" s="19">
        <f>(I14*J14*K14*0.1)</f>
        <v>81000</v>
      </c>
      <c r="O14" s="22">
        <v>2025</v>
      </c>
      <c r="P14" s="22">
        <v>91</v>
      </c>
      <c r="Q14" s="22">
        <v>0.62</v>
      </c>
      <c r="R14" s="23">
        <v>10000</v>
      </c>
      <c r="S14" s="19">
        <f>(P14*Q14*R14*0.1)</f>
        <v>56420</v>
      </c>
    </row>
    <row r="15" spans="1:19">
      <c r="A15" s="22">
        <v>2026</v>
      </c>
      <c r="B15">
        <v>72</v>
      </c>
      <c r="C15">
        <v>0.73</v>
      </c>
      <c r="D15" s="3">
        <v>7550</v>
      </c>
      <c r="E15" s="19">
        <f t="shared" ref="E15:E20" si="3">(B15*C15*D15*0.1)</f>
        <v>39682.800000000003</v>
      </c>
      <c r="H15" s="22">
        <v>2026</v>
      </c>
      <c r="I15" s="22">
        <v>82</v>
      </c>
      <c r="J15" s="22">
        <v>1.01</v>
      </c>
      <c r="K15" s="23">
        <v>10500</v>
      </c>
      <c r="L15" s="19">
        <f t="shared" ref="L15:L20" si="4">(I15*J15*K15*0.1)</f>
        <v>86961.000000000015</v>
      </c>
      <c r="O15" s="22">
        <v>2026</v>
      </c>
      <c r="P15" s="22">
        <v>90</v>
      </c>
      <c r="Q15" s="22">
        <v>0.64</v>
      </c>
      <c r="R15" s="23">
        <v>10400</v>
      </c>
      <c r="S15" s="19">
        <f t="shared" ref="S15:S20" si="5">(P15*Q15*R15*0.1)</f>
        <v>59904</v>
      </c>
    </row>
    <row r="16" spans="1:19">
      <c r="A16" s="22">
        <v>2027</v>
      </c>
      <c r="B16">
        <v>73</v>
      </c>
      <c r="C16">
        <v>0.72</v>
      </c>
      <c r="D16" s="3">
        <v>7366</v>
      </c>
      <c r="E16" s="19">
        <f t="shared" si="3"/>
        <v>38715.695999999996</v>
      </c>
      <c r="H16" s="22">
        <v>2027</v>
      </c>
      <c r="I16" s="22">
        <v>83</v>
      </c>
      <c r="J16" s="22">
        <v>1.0900000000000001</v>
      </c>
      <c r="K16" s="23">
        <v>11000</v>
      </c>
      <c r="L16" s="19">
        <f t="shared" si="4"/>
        <v>99517.000000000015</v>
      </c>
      <c r="O16" s="22">
        <v>2027</v>
      </c>
      <c r="P16" s="22">
        <v>90</v>
      </c>
      <c r="Q16" s="22">
        <v>0.66</v>
      </c>
      <c r="R16" s="23">
        <v>10800</v>
      </c>
      <c r="S16" s="19">
        <f t="shared" si="5"/>
        <v>64152.000000000015</v>
      </c>
    </row>
    <row r="17" spans="1:19">
      <c r="A17" s="22">
        <v>2028</v>
      </c>
      <c r="B17">
        <v>73</v>
      </c>
      <c r="C17">
        <v>0.71</v>
      </c>
      <c r="D17" s="3">
        <v>7489</v>
      </c>
      <c r="E17" s="19">
        <f t="shared" si="3"/>
        <v>38815.487000000001</v>
      </c>
      <c r="H17" s="22">
        <v>2028</v>
      </c>
      <c r="I17" s="22">
        <v>84</v>
      </c>
      <c r="J17" s="22">
        <v>1.1000000000000001</v>
      </c>
      <c r="K17" s="23">
        <v>11500</v>
      </c>
      <c r="L17" s="19">
        <f t="shared" si="4"/>
        <v>106260</v>
      </c>
      <c r="O17" s="22">
        <v>2028</v>
      </c>
      <c r="P17" s="22">
        <v>91</v>
      </c>
      <c r="Q17" s="22">
        <v>0.68</v>
      </c>
      <c r="R17" s="23">
        <v>11200</v>
      </c>
      <c r="S17" s="19">
        <f t="shared" si="5"/>
        <v>69305.600000000006</v>
      </c>
    </row>
    <row r="18" spans="1:19">
      <c r="A18" s="22">
        <v>2029</v>
      </c>
      <c r="B18">
        <v>71</v>
      </c>
      <c r="C18">
        <v>0.7</v>
      </c>
      <c r="D18" s="3">
        <v>7443</v>
      </c>
      <c r="E18" s="19">
        <f t="shared" si="3"/>
        <v>36991.71</v>
      </c>
      <c r="H18" s="22">
        <v>2029</v>
      </c>
      <c r="I18" s="22">
        <v>85</v>
      </c>
      <c r="J18" s="22">
        <v>1.1000000000000001</v>
      </c>
      <c r="K18" s="23">
        <v>12000</v>
      </c>
      <c r="L18" s="19">
        <f t="shared" si="4"/>
        <v>112200.00000000003</v>
      </c>
      <c r="O18" s="22">
        <v>2029</v>
      </c>
      <c r="P18" s="22">
        <v>91</v>
      </c>
      <c r="Q18" s="22">
        <v>0.7</v>
      </c>
      <c r="R18" s="23">
        <v>11500</v>
      </c>
      <c r="S18" s="19">
        <f t="shared" si="5"/>
        <v>73255</v>
      </c>
    </row>
    <row r="19" spans="1:19">
      <c r="A19" s="22">
        <v>2030</v>
      </c>
      <c r="B19">
        <v>70</v>
      </c>
      <c r="C19">
        <v>0.69</v>
      </c>
      <c r="D19" s="3">
        <v>7494</v>
      </c>
      <c r="E19" s="19">
        <f t="shared" si="3"/>
        <v>36196.019999999997</v>
      </c>
      <c r="H19" s="22">
        <v>2030</v>
      </c>
      <c r="I19" s="22">
        <v>85</v>
      </c>
      <c r="J19" s="22">
        <v>1.1000000000000001</v>
      </c>
      <c r="K19" s="23">
        <v>12100</v>
      </c>
      <c r="L19" s="19">
        <f t="shared" si="4"/>
        <v>113135.00000000003</v>
      </c>
      <c r="O19" s="22">
        <v>2030</v>
      </c>
      <c r="P19" s="22">
        <v>91</v>
      </c>
      <c r="Q19" s="22">
        <v>0.72</v>
      </c>
      <c r="R19" s="23">
        <v>11800</v>
      </c>
      <c r="S19" s="19">
        <f t="shared" si="5"/>
        <v>77313.600000000006</v>
      </c>
    </row>
    <row r="20" spans="1:19">
      <c r="A20" s="22">
        <v>2031</v>
      </c>
      <c r="B20">
        <v>73</v>
      </c>
      <c r="C20">
        <v>0.68</v>
      </c>
      <c r="D20" s="3">
        <v>7500</v>
      </c>
      <c r="E20" s="19">
        <f t="shared" si="3"/>
        <v>37230</v>
      </c>
      <c r="H20" s="22">
        <v>2031</v>
      </c>
      <c r="I20" s="22">
        <v>85</v>
      </c>
      <c r="J20" s="22">
        <v>1.1000000000000001</v>
      </c>
      <c r="K20" s="23">
        <v>12150</v>
      </c>
      <c r="L20" s="19">
        <f t="shared" si="4"/>
        <v>113602.50000000003</v>
      </c>
      <c r="O20" s="22">
        <v>2031</v>
      </c>
      <c r="P20" s="22">
        <v>91</v>
      </c>
      <c r="Q20" s="22">
        <v>0.74</v>
      </c>
      <c r="R20" s="23">
        <v>12000</v>
      </c>
      <c r="S20" s="19">
        <f t="shared" si="5"/>
        <v>80808</v>
      </c>
    </row>
    <row r="22" spans="1:19">
      <c r="A22" s="27" t="s">
        <v>135</v>
      </c>
      <c r="B22" s="27"/>
      <c r="C22" s="27"/>
      <c r="D22" s="27"/>
      <c r="E22" s="27"/>
      <c r="H22" s="27" t="s">
        <v>138</v>
      </c>
      <c r="I22" s="27"/>
      <c r="J22" s="27"/>
      <c r="K22" s="27"/>
      <c r="L22" s="27"/>
      <c r="O22" s="27" t="s">
        <v>141</v>
      </c>
      <c r="P22" s="27"/>
      <c r="Q22" s="27"/>
      <c r="R22" s="27"/>
      <c r="S22" s="27"/>
    </row>
    <row r="23" spans="1:19">
      <c r="A23" t="s">
        <v>118</v>
      </c>
      <c r="B23" t="s">
        <v>15</v>
      </c>
      <c r="C23" t="s">
        <v>14</v>
      </c>
      <c r="D23" t="s">
        <v>13</v>
      </c>
      <c r="E23" t="s">
        <v>119</v>
      </c>
      <c r="H23" s="22" t="s">
        <v>118</v>
      </c>
      <c r="I23" s="22" t="s">
        <v>15</v>
      </c>
      <c r="J23" s="22" t="s">
        <v>14</v>
      </c>
      <c r="K23" s="22" t="s">
        <v>13</v>
      </c>
      <c r="L23" s="22" t="s">
        <v>122</v>
      </c>
      <c r="O23" s="22" t="s">
        <v>118</v>
      </c>
      <c r="P23" s="22" t="s">
        <v>15</v>
      </c>
      <c r="Q23" s="22" t="s">
        <v>14</v>
      </c>
      <c r="R23" s="22" t="s">
        <v>13</v>
      </c>
      <c r="S23" s="22" t="s">
        <v>119</v>
      </c>
    </row>
    <row r="24" spans="1:19">
      <c r="A24" s="22">
        <v>2025</v>
      </c>
      <c r="B24">
        <v>75</v>
      </c>
      <c r="C24">
        <v>0.76</v>
      </c>
      <c r="D24" s="3">
        <v>7600</v>
      </c>
      <c r="E24" s="19">
        <f>(B24*C24*D24*0.1)</f>
        <v>43320</v>
      </c>
      <c r="H24" s="22">
        <v>2025</v>
      </c>
      <c r="I24" s="22">
        <v>84</v>
      </c>
      <c r="J24" s="22">
        <v>1.05</v>
      </c>
      <c r="K24" s="23">
        <v>11000</v>
      </c>
      <c r="L24">
        <f>(I24*J24*K24*0.1)</f>
        <v>97020</v>
      </c>
      <c r="O24" s="22">
        <v>2025</v>
      </c>
      <c r="P24" s="22">
        <v>92</v>
      </c>
      <c r="Q24" s="22">
        <v>0.7</v>
      </c>
      <c r="R24" s="23">
        <v>11000</v>
      </c>
      <c r="S24" s="19">
        <f>(P24*Q24*R24*0.1)</f>
        <v>70839.999999999985</v>
      </c>
    </row>
    <row r="25" spans="1:19">
      <c r="A25" s="22">
        <v>2026</v>
      </c>
      <c r="B25">
        <v>76</v>
      </c>
      <c r="C25">
        <v>0.77</v>
      </c>
      <c r="D25" s="3">
        <v>7540</v>
      </c>
      <c r="E25" s="19">
        <f t="shared" ref="E25:E30" si="6">(B25*C25*D25*0.1)</f>
        <v>44124.080000000009</v>
      </c>
      <c r="H25" s="22">
        <v>2026</v>
      </c>
      <c r="I25" s="22">
        <v>85</v>
      </c>
      <c r="J25" s="22">
        <v>1.1000000000000001</v>
      </c>
      <c r="K25" s="23">
        <v>11500</v>
      </c>
      <c r="L25">
        <f t="shared" ref="L25:L30" si="7">(I25*J25*K25*0.1)</f>
        <v>107525.00000000003</v>
      </c>
      <c r="O25" s="22">
        <v>2026</v>
      </c>
      <c r="P25" s="22">
        <v>92</v>
      </c>
      <c r="Q25" s="22">
        <v>0.75</v>
      </c>
      <c r="R25" s="23">
        <v>11479</v>
      </c>
      <c r="S25" s="19">
        <f t="shared" ref="S25:S30" si="8">(P25*Q25*R25*0.1)</f>
        <v>79205.100000000006</v>
      </c>
    </row>
    <row r="26" spans="1:19">
      <c r="A26" s="22">
        <v>2027</v>
      </c>
      <c r="B26">
        <v>77</v>
      </c>
      <c r="C26">
        <v>0.78</v>
      </c>
      <c r="D26" s="3">
        <v>7590</v>
      </c>
      <c r="E26" s="19">
        <f t="shared" si="6"/>
        <v>45585.540000000008</v>
      </c>
      <c r="H26" s="22">
        <v>2027</v>
      </c>
      <c r="I26" s="22">
        <v>86</v>
      </c>
      <c r="J26" s="22">
        <v>1.1499999999999999</v>
      </c>
      <c r="K26" s="23">
        <v>12000</v>
      </c>
      <c r="L26">
        <f t="shared" si="7"/>
        <v>118680</v>
      </c>
      <c r="O26" s="22">
        <v>2027</v>
      </c>
      <c r="P26" s="22">
        <v>92</v>
      </c>
      <c r="Q26" s="22">
        <v>0.8</v>
      </c>
      <c r="R26" s="23">
        <v>12100</v>
      </c>
      <c r="S26" s="19">
        <f t="shared" si="8"/>
        <v>89056.000000000015</v>
      </c>
    </row>
    <row r="27" spans="1:19">
      <c r="A27" s="22">
        <v>2028</v>
      </c>
      <c r="B27">
        <v>78</v>
      </c>
      <c r="C27">
        <v>0.79</v>
      </c>
      <c r="D27" s="3">
        <v>7444</v>
      </c>
      <c r="E27" s="19">
        <f t="shared" si="6"/>
        <v>45869.928000000007</v>
      </c>
      <c r="H27" s="22">
        <v>2028</v>
      </c>
      <c r="I27" s="22">
        <v>87</v>
      </c>
      <c r="J27" s="22">
        <v>1.2</v>
      </c>
      <c r="K27" s="23">
        <v>12500</v>
      </c>
      <c r="L27">
        <f t="shared" si="7"/>
        <v>130500</v>
      </c>
      <c r="O27" s="22">
        <v>2028</v>
      </c>
      <c r="P27" s="22">
        <v>93</v>
      </c>
      <c r="Q27" s="22">
        <v>0.85</v>
      </c>
      <c r="R27" s="23">
        <v>12690</v>
      </c>
      <c r="S27" s="19">
        <f t="shared" si="8"/>
        <v>100314.45000000001</v>
      </c>
    </row>
    <row r="28" spans="1:19">
      <c r="A28" s="22">
        <v>2029</v>
      </c>
      <c r="B28">
        <v>79</v>
      </c>
      <c r="C28">
        <v>0.8</v>
      </c>
      <c r="D28" s="3">
        <v>7469</v>
      </c>
      <c r="E28" s="19">
        <f t="shared" si="6"/>
        <v>47204.080000000009</v>
      </c>
      <c r="H28" s="22">
        <v>2029</v>
      </c>
      <c r="I28" s="22">
        <v>89</v>
      </c>
      <c r="J28" s="22">
        <v>1.25</v>
      </c>
      <c r="K28" s="23">
        <v>13000</v>
      </c>
      <c r="L28">
        <f t="shared" si="7"/>
        <v>144625</v>
      </c>
      <c r="O28" s="22">
        <v>2029</v>
      </c>
      <c r="P28" s="22">
        <v>93</v>
      </c>
      <c r="Q28" s="22">
        <v>0.9</v>
      </c>
      <c r="R28" s="23">
        <v>13200</v>
      </c>
      <c r="S28" s="19">
        <f t="shared" si="8"/>
        <v>110484</v>
      </c>
    </row>
    <row r="29" spans="1:19">
      <c r="A29" s="22">
        <v>2030</v>
      </c>
      <c r="B29">
        <v>80</v>
      </c>
      <c r="C29">
        <v>0.82</v>
      </c>
      <c r="D29" s="3">
        <v>7509</v>
      </c>
      <c r="E29" s="19">
        <f t="shared" si="6"/>
        <v>49259.040000000001</v>
      </c>
      <c r="H29" s="22">
        <v>2030</v>
      </c>
      <c r="I29" s="22">
        <v>90</v>
      </c>
      <c r="J29" s="22">
        <v>1.3</v>
      </c>
      <c r="K29" s="23">
        <v>14000</v>
      </c>
      <c r="L29">
        <f t="shared" si="7"/>
        <v>163800</v>
      </c>
      <c r="O29" s="22">
        <v>2030</v>
      </c>
      <c r="P29" s="22">
        <v>93</v>
      </c>
      <c r="Q29" s="22">
        <v>0.91</v>
      </c>
      <c r="R29" s="23">
        <v>13900</v>
      </c>
      <c r="S29" s="19">
        <f t="shared" si="8"/>
        <v>117635.70000000003</v>
      </c>
    </row>
    <row r="30" spans="1:19">
      <c r="A30" s="22">
        <v>2031</v>
      </c>
      <c r="B30">
        <v>81</v>
      </c>
      <c r="C30">
        <v>0.83</v>
      </c>
      <c r="D30" s="3">
        <v>7512</v>
      </c>
      <c r="E30" s="19">
        <f t="shared" si="6"/>
        <v>50503.175999999999</v>
      </c>
      <c r="H30" s="22">
        <v>2031</v>
      </c>
      <c r="I30" s="22">
        <v>91</v>
      </c>
      <c r="J30" s="22">
        <v>1.35</v>
      </c>
      <c r="K30" s="23">
        <v>15000</v>
      </c>
      <c r="L30">
        <f t="shared" si="7"/>
        <v>184275.00000000003</v>
      </c>
      <c r="O30" s="22">
        <v>2031</v>
      </c>
      <c r="P30" s="22">
        <v>93</v>
      </c>
      <c r="Q30" s="22">
        <v>0.92</v>
      </c>
      <c r="R30" s="23">
        <v>14000</v>
      </c>
      <c r="S30" s="19">
        <f t="shared" si="8"/>
        <v>119784</v>
      </c>
    </row>
    <row r="32" spans="1:19">
      <c r="A32" s="27" t="s">
        <v>142</v>
      </c>
      <c r="B32" s="27"/>
      <c r="C32" s="27"/>
      <c r="D32" s="27"/>
      <c r="E32" s="27"/>
    </row>
    <row r="33" spans="1:5">
      <c r="A33" t="s">
        <v>118</v>
      </c>
      <c r="B33" t="s">
        <v>123</v>
      </c>
      <c r="C33" t="s">
        <v>124</v>
      </c>
      <c r="D33" t="s">
        <v>125</v>
      </c>
      <c r="E33" t="s">
        <v>126</v>
      </c>
    </row>
    <row r="34" spans="1:5">
      <c r="A34" s="22">
        <v>2025</v>
      </c>
      <c r="B34">
        <v>37843</v>
      </c>
      <c r="C34">
        <v>70395</v>
      </c>
      <c r="D34">
        <v>49590</v>
      </c>
      <c r="E34">
        <f>(B34+C34+D34)</f>
        <v>157828</v>
      </c>
    </row>
    <row r="35" spans="1:5">
      <c r="A35" s="22">
        <v>2026</v>
      </c>
      <c r="B35">
        <v>37275</v>
      </c>
      <c r="C35">
        <v>65142</v>
      </c>
      <c r="D35">
        <v>47134</v>
      </c>
      <c r="E35">
        <f t="shared" ref="E35:E40" si="9">(B35+C35+D35)</f>
        <v>149551</v>
      </c>
    </row>
    <row r="36" spans="1:5">
      <c r="A36" s="22">
        <v>2027</v>
      </c>
      <c r="B36">
        <v>36942</v>
      </c>
      <c r="C36">
        <v>61492</v>
      </c>
      <c r="D36">
        <v>44854</v>
      </c>
      <c r="E36">
        <f t="shared" si="9"/>
        <v>143288</v>
      </c>
    </row>
    <row r="37" spans="1:5">
      <c r="A37" s="22">
        <v>2028</v>
      </c>
      <c r="B37">
        <v>35289</v>
      </c>
      <c r="C37">
        <v>56580</v>
      </c>
      <c r="D37">
        <v>43930</v>
      </c>
      <c r="E37">
        <f t="shared" si="9"/>
        <v>135799</v>
      </c>
    </row>
    <row r="38" spans="1:5">
      <c r="A38" s="22">
        <v>2029</v>
      </c>
      <c r="B38">
        <v>33806</v>
      </c>
      <c r="C38">
        <v>50505</v>
      </c>
      <c r="D38">
        <v>42143</v>
      </c>
      <c r="E38">
        <f t="shared" si="9"/>
        <v>126454</v>
      </c>
    </row>
    <row r="39" spans="1:5">
      <c r="A39" s="22">
        <v>2030</v>
      </c>
      <c r="B39">
        <v>33470</v>
      </c>
      <c r="C39">
        <v>45990</v>
      </c>
      <c r="D39">
        <v>40023</v>
      </c>
      <c r="E39">
        <f t="shared" si="9"/>
        <v>119483</v>
      </c>
    </row>
    <row r="40" spans="1:5">
      <c r="A40" s="22">
        <v>2031</v>
      </c>
      <c r="B40">
        <v>32888</v>
      </c>
      <c r="C40">
        <v>41652</v>
      </c>
      <c r="D40">
        <v>38347</v>
      </c>
      <c r="E40">
        <f t="shared" si="9"/>
        <v>112887</v>
      </c>
    </row>
    <row r="42" spans="1:5">
      <c r="A42" s="27" t="s">
        <v>143</v>
      </c>
      <c r="B42" s="27"/>
      <c r="C42" s="27"/>
      <c r="D42" s="27"/>
      <c r="E42" s="27"/>
    </row>
    <row r="43" spans="1:5">
      <c r="A43" t="s">
        <v>118</v>
      </c>
      <c r="B43" t="s">
        <v>123</v>
      </c>
      <c r="C43" t="s">
        <v>124</v>
      </c>
      <c r="D43" t="s">
        <v>125</v>
      </c>
      <c r="E43" t="s">
        <v>126</v>
      </c>
    </row>
    <row r="44" spans="1:5">
      <c r="A44" s="22">
        <v>2025</v>
      </c>
      <c r="B44">
        <v>39975</v>
      </c>
      <c r="C44">
        <v>81000</v>
      </c>
      <c r="D44">
        <v>56420</v>
      </c>
      <c r="E44">
        <f>SUM(B44:D44)</f>
        <v>177395</v>
      </c>
    </row>
    <row r="45" spans="1:5">
      <c r="A45" s="22">
        <v>2026</v>
      </c>
      <c r="B45">
        <v>39683</v>
      </c>
      <c r="C45">
        <v>86961</v>
      </c>
      <c r="D45">
        <v>59904</v>
      </c>
      <c r="E45">
        <f t="shared" ref="E45:E50" si="10">SUM(B45:D45)</f>
        <v>186548</v>
      </c>
    </row>
    <row r="46" spans="1:5">
      <c r="A46" s="22">
        <v>2027</v>
      </c>
      <c r="B46">
        <v>38716</v>
      </c>
      <c r="C46">
        <v>99517</v>
      </c>
      <c r="D46">
        <v>64152</v>
      </c>
      <c r="E46">
        <f t="shared" si="10"/>
        <v>202385</v>
      </c>
    </row>
    <row r="47" spans="1:5">
      <c r="A47" s="22">
        <v>2028</v>
      </c>
      <c r="B47">
        <v>38815</v>
      </c>
      <c r="C47">
        <v>10620</v>
      </c>
      <c r="D47">
        <v>69306</v>
      </c>
      <c r="E47">
        <f t="shared" si="10"/>
        <v>118741</v>
      </c>
    </row>
    <row r="48" spans="1:5">
      <c r="A48" s="22">
        <v>2029</v>
      </c>
      <c r="B48">
        <v>36992</v>
      </c>
      <c r="C48">
        <v>112200</v>
      </c>
      <c r="D48">
        <v>73255</v>
      </c>
      <c r="E48">
        <f t="shared" si="10"/>
        <v>222447</v>
      </c>
    </row>
    <row r="49" spans="1:5">
      <c r="A49" s="22">
        <v>2030</v>
      </c>
      <c r="B49">
        <v>36196</v>
      </c>
      <c r="C49">
        <v>113135</v>
      </c>
      <c r="D49">
        <v>77314</v>
      </c>
      <c r="E49">
        <f t="shared" si="10"/>
        <v>226645</v>
      </c>
    </row>
    <row r="50" spans="1:5">
      <c r="A50" s="22">
        <v>2031</v>
      </c>
      <c r="B50">
        <v>37230</v>
      </c>
      <c r="C50">
        <v>113603</v>
      </c>
      <c r="D50">
        <v>80808</v>
      </c>
      <c r="E50">
        <f t="shared" si="10"/>
        <v>231641</v>
      </c>
    </row>
    <row r="52" spans="1:5">
      <c r="A52" s="27" t="s">
        <v>144</v>
      </c>
      <c r="B52" s="27"/>
      <c r="C52" s="27"/>
      <c r="D52" s="27"/>
      <c r="E52" s="27"/>
    </row>
    <row r="53" spans="1:5">
      <c r="A53" t="s">
        <v>118</v>
      </c>
      <c r="B53" t="s">
        <v>123</v>
      </c>
      <c r="C53" t="s">
        <v>124</v>
      </c>
      <c r="D53" t="s">
        <v>125</v>
      </c>
      <c r="E53" t="s">
        <v>126</v>
      </c>
    </row>
    <row r="54" spans="1:5">
      <c r="A54" s="22">
        <v>2025</v>
      </c>
      <c r="B54">
        <v>43320</v>
      </c>
      <c r="C54">
        <v>97020</v>
      </c>
      <c r="D54">
        <v>70840</v>
      </c>
      <c r="E54">
        <f>SUM(B54:D54)</f>
        <v>211180</v>
      </c>
    </row>
    <row r="55" spans="1:5">
      <c r="A55" s="22">
        <v>2026</v>
      </c>
      <c r="B55">
        <v>44124</v>
      </c>
      <c r="C55">
        <v>107525</v>
      </c>
      <c r="D55">
        <v>79205</v>
      </c>
      <c r="E55">
        <f t="shared" ref="E55:E60" si="11">SUM(B55:D55)</f>
        <v>230854</v>
      </c>
    </row>
    <row r="56" spans="1:5">
      <c r="A56" s="22">
        <v>2027</v>
      </c>
      <c r="B56">
        <v>45586</v>
      </c>
      <c r="C56">
        <v>118680</v>
      </c>
      <c r="D56">
        <v>89056</v>
      </c>
      <c r="E56">
        <f t="shared" si="11"/>
        <v>253322</v>
      </c>
    </row>
    <row r="57" spans="1:5">
      <c r="A57" s="22">
        <v>2028</v>
      </c>
      <c r="B57">
        <v>45870</v>
      </c>
      <c r="C57">
        <v>130500</v>
      </c>
      <c r="D57">
        <v>100314</v>
      </c>
      <c r="E57">
        <f t="shared" si="11"/>
        <v>276684</v>
      </c>
    </row>
    <row r="58" spans="1:5">
      <c r="A58" s="22">
        <v>2029</v>
      </c>
      <c r="B58">
        <v>47204</v>
      </c>
      <c r="C58">
        <v>144625</v>
      </c>
      <c r="D58">
        <v>110484</v>
      </c>
      <c r="E58">
        <f t="shared" si="11"/>
        <v>302313</v>
      </c>
    </row>
    <row r="59" spans="1:5">
      <c r="A59" s="22">
        <v>2030</v>
      </c>
      <c r="B59">
        <v>49259</v>
      </c>
      <c r="C59">
        <v>163800</v>
      </c>
      <c r="D59">
        <v>117636</v>
      </c>
      <c r="E59">
        <f t="shared" si="11"/>
        <v>330695</v>
      </c>
    </row>
    <row r="60" spans="1:5">
      <c r="A60" s="22">
        <v>2031</v>
      </c>
      <c r="B60">
        <v>50503</v>
      </c>
      <c r="C60">
        <v>184275</v>
      </c>
      <c r="D60">
        <v>119784</v>
      </c>
      <c r="E60">
        <f t="shared" si="11"/>
        <v>354562</v>
      </c>
    </row>
  </sheetData>
  <mergeCells count="12">
    <mergeCell ref="A52:E52"/>
    <mergeCell ref="A2:E2"/>
    <mergeCell ref="A12:E12"/>
    <mergeCell ref="A22:E22"/>
    <mergeCell ref="H2:L2"/>
    <mergeCell ref="H12:L12"/>
    <mergeCell ref="H22:L22"/>
    <mergeCell ref="O2:S2"/>
    <mergeCell ref="O12:S12"/>
    <mergeCell ref="O22:S22"/>
    <mergeCell ref="A32:E32"/>
    <mergeCell ref="A42:E42"/>
  </mergeCells>
  <pageMargins left="0.7" right="0.7" top="0.75" bottom="0.75" header="0.3" footer="0.3"/>
  <ignoredErrors>
    <ignoredError sqref="E44:E50 E54:E6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1E26-E083-3D46-AB97-2E14C80D6364}">
  <dimension ref="A1:I36"/>
  <sheetViews>
    <sheetView workbookViewId="0">
      <selection activeCell="J28" sqref="J28"/>
    </sheetView>
  </sheetViews>
  <sheetFormatPr baseColWidth="10" defaultRowHeight="15"/>
  <cols>
    <col min="1" max="1" width="18.33203125" customWidth="1"/>
    <col min="2" max="2" width="32.33203125" customWidth="1"/>
    <col min="3" max="3" width="16.6640625" customWidth="1"/>
    <col min="6" max="6" width="17.83203125" customWidth="1"/>
  </cols>
  <sheetData>
    <row r="1" spans="1:9">
      <c r="A1" t="s">
        <v>85</v>
      </c>
    </row>
    <row r="2" spans="1:9" ht="16" thickBot="1"/>
    <row r="3" spans="1:9">
      <c r="A3" s="9" t="s">
        <v>86</v>
      </c>
      <c r="B3" s="9"/>
    </row>
    <row r="4" spans="1:9">
      <c r="A4" s="6" t="s">
        <v>87</v>
      </c>
      <c r="B4" s="6">
        <v>0.99626216763702635</v>
      </c>
    </row>
    <row r="5" spans="1:9">
      <c r="A5" s="6" t="s">
        <v>88</v>
      </c>
      <c r="B5" s="6">
        <v>0.99253830666482634</v>
      </c>
    </row>
    <row r="6" spans="1:9">
      <c r="A6" s="6" t="s">
        <v>89</v>
      </c>
      <c r="B6" s="6">
        <v>0.98880745999723951</v>
      </c>
    </row>
    <row r="7" spans="1:9">
      <c r="A7" s="6" t="s">
        <v>34</v>
      </c>
      <c r="B7" s="6">
        <v>6980.7367930678056</v>
      </c>
    </row>
    <row r="8" spans="1:9" ht="16" thickBot="1">
      <c r="A8" s="7" t="s">
        <v>90</v>
      </c>
      <c r="B8" s="7">
        <v>10</v>
      </c>
    </row>
    <row r="10" spans="1:9" ht="16" thickBot="1">
      <c r="A10" t="s">
        <v>91</v>
      </c>
    </row>
    <row r="11" spans="1:9">
      <c r="A11" s="8"/>
      <c r="B11" s="8" t="s">
        <v>96</v>
      </c>
      <c r="C11" s="8" t="s">
        <v>97</v>
      </c>
      <c r="D11" s="8" t="s">
        <v>98</v>
      </c>
      <c r="E11" s="8" t="s">
        <v>99</v>
      </c>
      <c r="F11" s="8" t="s">
        <v>100</v>
      </c>
    </row>
    <row r="12" spans="1:9">
      <c r="A12" s="6" t="s">
        <v>92</v>
      </c>
      <c r="B12" s="6">
        <v>3</v>
      </c>
      <c r="C12" s="6">
        <v>38892302777.855469</v>
      </c>
      <c r="D12" s="6">
        <v>12964100925.951822</v>
      </c>
      <c r="E12" s="6">
        <v>266.03567369516441</v>
      </c>
      <c r="F12" s="6">
        <v>9.0623641240595669E-7</v>
      </c>
    </row>
    <row r="13" spans="1:9">
      <c r="A13" s="6" t="s">
        <v>93</v>
      </c>
      <c r="B13" s="6">
        <v>6</v>
      </c>
      <c r="C13" s="6">
        <v>292384117.0445435</v>
      </c>
      <c r="D13" s="6">
        <v>48730686.174090587</v>
      </c>
      <c r="E13" s="6"/>
      <c r="F13" s="6"/>
    </row>
    <row r="14" spans="1:9" ht="16" thickBot="1">
      <c r="A14" s="7" t="s">
        <v>94</v>
      </c>
      <c r="B14" s="7">
        <v>9</v>
      </c>
      <c r="C14" s="7">
        <v>39184686894.900009</v>
      </c>
      <c r="D14" s="7"/>
      <c r="E14" s="7"/>
      <c r="F14" s="7"/>
    </row>
    <row r="15" spans="1:9" ht="16" thickBot="1"/>
    <row r="16" spans="1:9">
      <c r="A16" s="8"/>
      <c r="B16" s="8" t="s">
        <v>101</v>
      </c>
      <c r="C16" s="8" t="s">
        <v>34</v>
      </c>
      <c r="D16" s="8" t="s">
        <v>102</v>
      </c>
      <c r="E16" s="8" t="s">
        <v>103</v>
      </c>
      <c r="F16" s="8" t="s">
        <v>104</v>
      </c>
      <c r="G16" s="8" t="s">
        <v>105</v>
      </c>
      <c r="H16" s="8" t="s">
        <v>106</v>
      </c>
      <c r="I16" s="8" t="s">
        <v>107</v>
      </c>
    </row>
    <row r="17" spans="1:9">
      <c r="A17" s="6" t="s">
        <v>95</v>
      </c>
      <c r="B17" s="6">
        <v>-113731.27006392243</v>
      </c>
      <c r="C17" s="6">
        <v>75490.726711411597</v>
      </c>
      <c r="D17" s="6">
        <v>-1.5065594811227347</v>
      </c>
      <c r="E17" s="6">
        <v>0.18264043753189307</v>
      </c>
      <c r="F17" s="6">
        <v>-298450.42390562157</v>
      </c>
      <c r="G17" s="6">
        <v>70987.883777776718</v>
      </c>
      <c r="H17" s="6">
        <v>-298450.42390562157</v>
      </c>
      <c r="I17" s="6">
        <v>70987.883777776718</v>
      </c>
    </row>
    <row r="18" spans="1:9">
      <c r="A18" s="6" t="s">
        <v>15</v>
      </c>
      <c r="B18" s="6">
        <v>1763.3438986604367</v>
      </c>
      <c r="C18" s="6">
        <v>435.20992617062609</v>
      </c>
      <c r="D18" s="6">
        <v>4.0517088251546669</v>
      </c>
      <c r="E18" s="6">
        <v>6.7131373450993979E-3</v>
      </c>
      <c r="F18" s="6">
        <v>698.42357257760455</v>
      </c>
      <c r="G18" s="6">
        <v>2828.2642247432686</v>
      </c>
      <c r="H18" s="6">
        <v>698.42357257760455</v>
      </c>
      <c r="I18" s="6">
        <v>2828.2642247432686</v>
      </c>
    </row>
    <row r="19" spans="1:9">
      <c r="A19" s="6" t="s">
        <v>14</v>
      </c>
      <c r="B19" s="6">
        <v>47408.883584498508</v>
      </c>
      <c r="C19" s="6">
        <v>105785.45149243808</v>
      </c>
      <c r="D19" s="6">
        <v>0.44816071506664096</v>
      </c>
      <c r="E19" s="6">
        <v>0.66976589579146273</v>
      </c>
      <c r="F19" s="6">
        <v>-211438.79135106955</v>
      </c>
      <c r="G19" s="6">
        <v>306256.55852006655</v>
      </c>
      <c r="H19" s="6">
        <v>-211438.79135106955</v>
      </c>
      <c r="I19" s="6">
        <v>306256.55852006655</v>
      </c>
    </row>
    <row r="20" spans="1:9" ht="16" thickBot="1">
      <c r="A20" s="7" t="s">
        <v>13</v>
      </c>
      <c r="B20" s="7">
        <v>3.0685336317440908</v>
      </c>
      <c r="C20" s="7">
        <v>0.54183902318716248</v>
      </c>
      <c r="D20" s="7">
        <v>5.6631831603685647</v>
      </c>
      <c r="E20" s="7">
        <v>1.3031790748359833E-3</v>
      </c>
      <c r="F20" s="7">
        <v>1.7427013044946089</v>
      </c>
      <c r="G20" s="7">
        <v>4.3943659589935731</v>
      </c>
      <c r="H20" s="7">
        <v>1.7427013044946089</v>
      </c>
      <c r="I20" s="7">
        <v>4.3943659589935731</v>
      </c>
    </row>
    <row r="24" spans="1:9">
      <c r="A24" t="s">
        <v>108</v>
      </c>
    </row>
    <row r="25" spans="1:9" ht="16" thickBot="1"/>
    <row r="26" spans="1:9">
      <c r="A26" s="8" t="s">
        <v>109</v>
      </c>
      <c r="B26" s="8" t="s">
        <v>110</v>
      </c>
      <c r="C26" s="8" t="s">
        <v>111</v>
      </c>
    </row>
    <row r="27" spans="1:9">
      <c r="A27" s="6">
        <v>1</v>
      </c>
      <c r="B27" s="6">
        <v>30019.72731437975</v>
      </c>
      <c r="C27" s="6">
        <v>2951.2726856202498</v>
      </c>
    </row>
    <row r="28" spans="1:9">
      <c r="A28" s="6">
        <v>2</v>
      </c>
      <c r="B28" s="6">
        <v>146220.94484858721</v>
      </c>
      <c r="C28" s="6">
        <v>-6620.9448485872126</v>
      </c>
    </row>
    <row r="29" spans="1:9">
      <c r="A29" s="6">
        <v>3</v>
      </c>
      <c r="B29" s="6">
        <v>192529.46587099836</v>
      </c>
      <c r="C29" s="6">
        <v>-1846.4658709983632</v>
      </c>
    </row>
    <row r="30" spans="1:9">
      <c r="A30" s="6">
        <v>4</v>
      </c>
      <c r="B30" s="6">
        <v>220028.48105395099</v>
      </c>
      <c r="C30" s="6">
        <v>3627.5189460490074</v>
      </c>
    </row>
    <row r="31" spans="1:9">
      <c r="A31" s="6">
        <v>5</v>
      </c>
      <c r="B31" s="6">
        <v>220359.88268617936</v>
      </c>
      <c r="C31" s="6">
        <v>-353.8826861793641</v>
      </c>
    </row>
    <row r="32" spans="1:9">
      <c r="A32" s="6">
        <v>6</v>
      </c>
      <c r="B32" s="6">
        <v>241845.28345868748</v>
      </c>
      <c r="C32" s="6">
        <v>9370.7165413125185</v>
      </c>
    </row>
    <row r="33" spans="1:3">
      <c r="A33" s="6">
        <v>7</v>
      </c>
      <c r="B33" s="6">
        <v>238335.94314408361</v>
      </c>
      <c r="C33" s="6">
        <v>-5647.9431440836051</v>
      </c>
    </row>
    <row r="34" spans="1:3">
      <c r="A34" s="6">
        <v>8</v>
      </c>
      <c r="B34" s="6">
        <v>246495.64500837412</v>
      </c>
      <c r="C34" s="6">
        <v>-4044.645008374122</v>
      </c>
    </row>
    <row r="35" spans="1:3">
      <c r="A35" s="6">
        <v>9</v>
      </c>
      <c r="B35" s="6">
        <v>219236.32765999704</v>
      </c>
      <c r="C35" s="6">
        <v>-5190.3276599970413</v>
      </c>
    </row>
    <row r="36" spans="1:3" ht="16" thickBot="1">
      <c r="A36" s="7">
        <v>10</v>
      </c>
      <c r="B36" s="7">
        <v>223037.29895476208</v>
      </c>
      <c r="C36" s="7">
        <v>7754.7010452379182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3EF9-43C5-674B-A461-2C4B21AF183A}">
  <dimension ref="A1:E11"/>
  <sheetViews>
    <sheetView workbookViewId="0">
      <selection activeCell="A14" sqref="A14"/>
    </sheetView>
  </sheetViews>
  <sheetFormatPr baseColWidth="10" defaultRowHeight="15"/>
  <cols>
    <col min="2" max="2" width="22.83203125" bestFit="1" customWidth="1"/>
    <col min="3" max="3" width="16.33203125" bestFit="1" customWidth="1"/>
    <col min="4" max="4" width="25.1640625" bestFit="1" customWidth="1"/>
    <col min="5" max="5" width="29.5" bestFit="1" customWidth="1"/>
  </cols>
  <sheetData>
    <row r="1" spans="1:5">
      <c r="A1" t="s">
        <v>12</v>
      </c>
      <c r="B1" t="s">
        <v>16</v>
      </c>
      <c r="C1" t="s">
        <v>15</v>
      </c>
      <c r="D1" t="s">
        <v>14</v>
      </c>
      <c r="E1" t="s">
        <v>13</v>
      </c>
    </row>
    <row r="2" spans="1:5">
      <c r="A2">
        <v>2015</v>
      </c>
      <c r="B2" s="3">
        <v>32971</v>
      </c>
      <c r="C2">
        <v>41</v>
      </c>
      <c r="D2">
        <v>0.6</v>
      </c>
      <c r="E2" s="3">
        <v>14016</v>
      </c>
    </row>
    <row r="3" spans="1:5">
      <c r="A3">
        <v>2016</v>
      </c>
      <c r="B3" s="3">
        <v>139600</v>
      </c>
      <c r="C3">
        <v>68</v>
      </c>
      <c r="D3">
        <v>0.6</v>
      </c>
      <c r="E3" s="3">
        <v>36369</v>
      </c>
    </row>
    <row r="4" spans="1:5">
      <c r="A4">
        <v>2017</v>
      </c>
      <c r="B4" s="3">
        <v>190683</v>
      </c>
      <c r="C4">
        <v>87</v>
      </c>
      <c r="D4">
        <v>0.5</v>
      </c>
      <c r="E4" s="3">
        <v>42087</v>
      </c>
    </row>
    <row r="5" spans="1:5">
      <c r="A5">
        <v>2018</v>
      </c>
      <c r="B5" s="3">
        <v>223656</v>
      </c>
      <c r="C5">
        <v>91</v>
      </c>
      <c r="D5">
        <v>0.5</v>
      </c>
      <c r="E5" s="3">
        <v>48750</v>
      </c>
    </row>
    <row r="6" spans="1:5">
      <c r="A6">
        <v>2019</v>
      </c>
      <c r="B6" s="3">
        <v>220006</v>
      </c>
      <c r="C6">
        <v>91</v>
      </c>
      <c r="D6">
        <v>0.5</v>
      </c>
      <c r="E6" s="3">
        <v>48858</v>
      </c>
    </row>
    <row r="7" spans="1:5">
      <c r="A7">
        <v>2020</v>
      </c>
      <c r="B7" s="3">
        <v>251216</v>
      </c>
      <c r="C7">
        <v>90</v>
      </c>
      <c r="D7">
        <v>0.49</v>
      </c>
      <c r="E7" s="3">
        <v>56589</v>
      </c>
    </row>
    <row r="8" spans="1:5">
      <c r="A8">
        <v>2021</v>
      </c>
      <c r="B8" s="3">
        <v>232688</v>
      </c>
      <c r="C8">
        <v>89</v>
      </c>
      <c r="D8">
        <v>0.47</v>
      </c>
      <c r="E8" s="3">
        <v>56329</v>
      </c>
    </row>
    <row r="9" spans="1:5">
      <c r="A9">
        <v>2022</v>
      </c>
      <c r="B9" s="3">
        <v>242451</v>
      </c>
      <c r="C9">
        <v>90</v>
      </c>
      <c r="D9">
        <v>0.46</v>
      </c>
      <c r="E9" s="3">
        <v>58568</v>
      </c>
    </row>
    <row r="10" spans="1:5">
      <c r="A10">
        <v>2023</v>
      </c>
      <c r="B10" s="3">
        <v>214046</v>
      </c>
      <c r="C10">
        <v>90</v>
      </c>
      <c r="D10">
        <v>0.49</v>
      </c>
      <c r="E10" s="3">
        <v>49221</v>
      </c>
    </row>
    <row r="11" spans="1:5">
      <c r="A11">
        <v>2024</v>
      </c>
      <c r="B11" s="3">
        <v>230792</v>
      </c>
      <c r="C11">
        <v>88</v>
      </c>
      <c r="D11">
        <v>0.51</v>
      </c>
      <c r="E11" s="3">
        <v>51300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CFF4-CFD3-C64C-B1FE-33A97BA851A4}">
  <dimension ref="A1:AI36"/>
  <sheetViews>
    <sheetView topLeftCell="X1" workbookViewId="0">
      <selection activeCell="Y13" sqref="Y13"/>
    </sheetView>
  </sheetViews>
  <sheetFormatPr baseColWidth="10" defaultRowHeight="15"/>
  <cols>
    <col min="1" max="1" width="16.83203125" customWidth="1"/>
    <col min="2" max="2" width="34.6640625" customWidth="1"/>
    <col min="3" max="3" width="15" customWidth="1"/>
    <col min="4" max="4" width="14.83203125" customWidth="1"/>
    <col min="6" max="6" width="15.6640625" customWidth="1"/>
    <col min="13" max="13" width="38.33203125" customWidth="1"/>
    <col min="14" max="14" width="32" customWidth="1"/>
    <col min="15" max="15" width="16.33203125" customWidth="1"/>
    <col min="27" max="27" width="35.83203125" customWidth="1"/>
    <col min="28" max="28" width="27.33203125" customWidth="1"/>
    <col min="29" max="29" width="21.6640625" customWidth="1"/>
    <col min="32" max="32" width="16.6640625" customWidth="1"/>
  </cols>
  <sheetData>
    <row r="1" spans="1:35">
      <c r="A1" t="s">
        <v>85</v>
      </c>
      <c r="M1" t="s">
        <v>85</v>
      </c>
      <c r="AA1" t="s">
        <v>85</v>
      </c>
    </row>
    <row r="2" spans="1:35" ht="16" thickBot="1"/>
    <row r="3" spans="1:35">
      <c r="A3" s="9" t="s">
        <v>86</v>
      </c>
      <c r="B3" s="9"/>
      <c r="M3" s="9" t="s">
        <v>86</v>
      </c>
      <c r="N3" s="9"/>
      <c r="AA3" s="9" t="s">
        <v>86</v>
      </c>
      <c r="AB3" s="9"/>
    </row>
    <row r="4" spans="1:35">
      <c r="A4" s="6" t="s">
        <v>87</v>
      </c>
      <c r="B4" s="6">
        <v>0.84297817787346241</v>
      </c>
      <c r="M4" s="6" t="s">
        <v>87</v>
      </c>
      <c r="N4" s="6">
        <v>0.9213894911790883</v>
      </c>
      <c r="AA4" s="6" t="s">
        <v>87</v>
      </c>
      <c r="AB4" s="6">
        <v>0.85139760226179706</v>
      </c>
    </row>
    <row r="5" spans="1:35">
      <c r="A5" s="6" t="s">
        <v>88</v>
      </c>
      <c r="B5" s="6">
        <v>0.71061220837086281</v>
      </c>
      <c r="M5" s="6" t="s">
        <v>88</v>
      </c>
      <c r="N5" s="6">
        <v>0.84895859445525934</v>
      </c>
      <c r="AA5" s="6" t="s">
        <v>88</v>
      </c>
      <c r="AB5" s="6">
        <v>0.72487787713713725</v>
      </c>
    </row>
    <row r="6" spans="1:35">
      <c r="A6" s="6" t="s">
        <v>89</v>
      </c>
      <c r="B6" s="6">
        <v>0.56591831255629421</v>
      </c>
      <c r="M6" s="6" t="s">
        <v>89</v>
      </c>
      <c r="N6" s="6">
        <v>0.77343789168288912</v>
      </c>
      <c r="AA6" s="6" t="s">
        <v>89</v>
      </c>
      <c r="AB6" s="6">
        <v>0.58731681570570593</v>
      </c>
    </row>
    <row r="7" spans="1:35">
      <c r="A7" s="6" t="s">
        <v>34</v>
      </c>
      <c r="B7" s="6">
        <v>29015.42516115306</v>
      </c>
      <c r="M7" s="6" t="s">
        <v>34</v>
      </c>
      <c r="N7" s="6">
        <v>20962.199263722388</v>
      </c>
      <c r="AA7" s="6" t="s">
        <v>34</v>
      </c>
      <c r="AB7" s="6">
        <v>28291.214583313711</v>
      </c>
    </row>
    <row r="8" spans="1:35" ht="16" thickBot="1">
      <c r="A8" s="7" t="s">
        <v>90</v>
      </c>
      <c r="B8" s="7">
        <v>10</v>
      </c>
      <c r="M8" s="7" t="s">
        <v>90</v>
      </c>
      <c r="N8" s="7">
        <v>10</v>
      </c>
      <c r="AA8" s="7" t="s">
        <v>90</v>
      </c>
      <c r="AB8" s="7">
        <v>10</v>
      </c>
    </row>
    <row r="10" spans="1:35" ht="16" thickBot="1">
      <c r="A10" t="s">
        <v>91</v>
      </c>
      <c r="M10" t="s">
        <v>91</v>
      </c>
      <c r="AA10" t="s">
        <v>91</v>
      </c>
    </row>
    <row r="11" spans="1:35">
      <c r="A11" s="8"/>
      <c r="B11" s="8" t="s">
        <v>96</v>
      </c>
      <c r="C11" s="8" t="s">
        <v>97</v>
      </c>
      <c r="D11" s="8" t="s">
        <v>98</v>
      </c>
      <c r="E11" s="8" t="s">
        <v>99</v>
      </c>
      <c r="F11" s="8" t="s">
        <v>100</v>
      </c>
      <c r="M11" s="8"/>
      <c r="N11" s="8" t="s">
        <v>96</v>
      </c>
      <c r="O11" s="8" t="s">
        <v>97</v>
      </c>
      <c r="P11" s="8" t="s">
        <v>98</v>
      </c>
      <c r="Q11" s="8" t="s">
        <v>99</v>
      </c>
      <c r="R11" s="8" t="s">
        <v>100</v>
      </c>
      <c r="AA11" s="8"/>
      <c r="AB11" s="8" t="s">
        <v>96</v>
      </c>
      <c r="AC11" s="8" t="s">
        <v>97</v>
      </c>
      <c r="AD11" s="8" t="s">
        <v>98</v>
      </c>
      <c r="AE11" s="8" t="s">
        <v>99</v>
      </c>
      <c r="AF11" s="8" t="s">
        <v>100</v>
      </c>
    </row>
    <row r="12" spans="1:35">
      <c r="A12" s="6" t="s">
        <v>92</v>
      </c>
      <c r="B12" s="6">
        <v>3</v>
      </c>
      <c r="C12" s="6">
        <v>12403995112.705158</v>
      </c>
      <c r="D12" s="6">
        <v>4134665037.5683861</v>
      </c>
      <c r="E12" s="6">
        <v>4.9111415818227915</v>
      </c>
      <c r="F12" s="6">
        <v>4.6879972698019169E-2</v>
      </c>
      <c r="M12" s="6" t="s">
        <v>92</v>
      </c>
      <c r="N12" s="6">
        <v>3</v>
      </c>
      <c r="O12" s="6">
        <v>14818881708.567982</v>
      </c>
      <c r="P12" s="6">
        <v>4939627236.1893272</v>
      </c>
      <c r="Q12" s="6">
        <v>11.241402202176747</v>
      </c>
      <c r="R12" s="6">
        <v>7.0969348542556524E-3</v>
      </c>
      <c r="AA12" s="6" t="s">
        <v>92</v>
      </c>
      <c r="AB12" s="6">
        <v>3</v>
      </c>
      <c r="AC12" s="6">
        <v>12653007560.805387</v>
      </c>
      <c r="AD12" s="6">
        <v>4217669186.9351292</v>
      </c>
      <c r="AE12" s="6">
        <v>5.2694990107971753</v>
      </c>
      <c r="AF12" s="6">
        <v>4.0560453878869987E-2</v>
      </c>
    </row>
    <row r="13" spans="1:35">
      <c r="A13" s="6" t="s">
        <v>93</v>
      </c>
      <c r="B13" s="6">
        <v>6</v>
      </c>
      <c r="C13" s="6">
        <v>5051369383.6948442</v>
      </c>
      <c r="D13" s="6">
        <v>841894897.28247404</v>
      </c>
      <c r="E13" s="6"/>
      <c r="F13" s="6"/>
      <c r="M13" s="6" t="s">
        <v>93</v>
      </c>
      <c r="N13" s="6">
        <v>6</v>
      </c>
      <c r="O13" s="6">
        <v>2636482787.8320203</v>
      </c>
      <c r="P13" s="6">
        <v>439413797.9720034</v>
      </c>
      <c r="Q13" s="6"/>
      <c r="R13" s="6"/>
      <c r="AA13" s="6" t="s">
        <v>93</v>
      </c>
      <c r="AB13" s="6">
        <v>6</v>
      </c>
      <c r="AC13" s="6">
        <v>4802356935.594614</v>
      </c>
      <c r="AD13" s="6">
        <v>800392822.59910238</v>
      </c>
      <c r="AE13" s="6"/>
      <c r="AF13" s="6"/>
    </row>
    <row r="14" spans="1:35" ht="16" thickBot="1">
      <c r="A14" s="7" t="s">
        <v>94</v>
      </c>
      <c r="B14" s="7">
        <v>9</v>
      </c>
      <c r="C14" s="7">
        <v>17455364496.400002</v>
      </c>
      <c r="D14" s="7"/>
      <c r="E14" s="7"/>
      <c r="F14" s="7"/>
      <c r="M14" s="7" t="s">
        <v>94</v>
      </c>
      <c r="N14" s="7">
        <v>9</v>
      </c>
      <c r="O14" s="7">
        <v>17455364496.400002</v>
      </c>
      <c r="P14" s="7"/>
      <c r="Q14" s="7"/>
      <c r="R14" s="7"/>
      <c r="AA14" s="7" t="s">
        <v>94</v>
      </c>
      <c r="AB14" s="7">
        <v>9</v>
      </c>
      <c r="AC14" s="7">
        <v>17455364496.400002</v>
      </c>
      <c r="AD14" s="7"/>
      <c r="AE14" s="7"/>
      <c r="AF14" s="7"/>
    </row>
    <row r="15" spans="1:35" ht="16" thickBot="1"/>
    <row r="16" spans="1:35">
      <c r="A16" s="8"/>
      <c r="B16" s="8" t="s">
        <v>101</v>
      </c>
      <c r="C16" s="8" t="s">
        <v>34</v>
      </c>
      <c r="D16" s="8" t="s">
        <v>102</v>
      </c>
      <c r="E16" s="8" t="s">
        <v>103</v>
      </c>
      <c r="F16" s="8" t="s">
        <v>104</v>
      </c>
      <c r="G16" s="8" t="s">
        <v>105</v>
      </c>
      <c r="H16" s="8" t="s">
        <v>106</v>
      </c>
      <c r="I16" s="8" t="s">
        <v>107</v>
      </c>
      <c r="M16" s="8"/>
      <c r="N16" s="8" t="s">
        <v>101</v>
      </c>
      <c r="O16" s="8" t="s">
        <v>34</v>
      </c>
      <c r="P16" s="8" t="s">
        <v>102</v>
      </c>
      <c r="Q16" s="8" t="s">
        <v>103</v>
      </c>
      <c r="R16" s="8" t="s">
        <v>104</v>
      </c>
      <c r="S16" s="8" t="s">
        <v>105</v>
      </c>
      <c r="T16" s="8" t="s">
        <v>106</v>
      </c>
      <c r="U16" s="8" t="s">
        <v>107</v>
      </c>
      <c r="AA16" s="8"/>
      <c r="AB16" s="8" t="s">
        <v>101</v>
      </c>
      <c r="AC16" s="8" t="s">
        <v>34</v>
      </c>
      <c r="AD16" s="8" t="s">
        <v>102</v>
      </c>
      <c r="AE16" s="8" t="s">
        <v>103</v>
      </c>
      <c r="AF16" s="8" t="s">
        <v>104</v>
      </c>
      <c r="AG16" s="8" t="s">
        <v>105</v>
      </c>
      <c r="AH16" s="8" t="s">
        <v>106</v>
      </c>
      <c r="AI16" s="8" t="s">
        <v>107</v>
      </c>
    </row>
    <row r="17" spans="1:35">
      <c r="A17" s="6" t="s">
        <v>95</v>
      </c>
      <c r="B17" s="6">
        <v>7814.5005383549142</v>
      </c>
      <c r="C17" s="6">
        <v>457796.42634901829</v>
      </c>
      <c r="D17" s="6">
        <v>1.7069815508776464E-2</v>
      </c>
      <c r="E17" s="6">
        <v>0.98693438462634586</v>
      </c>
      <c r="F17" s="6">
        <v>-1112373.0005068732</v>
      </c>
      <c r="G17" s="6">
        <v>1128002.0015835832</v>
      </c>
      <c r="H17" s="6">
        <v>-1112373.0005068732</v>
      </c>
      <c r="I17" s="6">
        <v>1128002.0015835832</v>
      </c>
      <c r="M17" s="6" t="s">
        <v>95</v>
      </c>
      <c r="N17" s="6">
        <v>58678.588433665311</v>
      </c>
      <c r="O17" s="6">
        <v>165758.45217565849</v>
      </c>
      <c r="P17" s="6">
        <v>0.35400058134882983</v>
      </c>
      <c r="Q17" s="6">
        <v>0.73544641280596368</v>
      </c>
      <c r="R17" s="6">
        <v>-346917.73262240016</v>
      </c>
      <c r="S17" s="6">
        <v>464274.90948973072</v>
      </c>
      <c r="T17" s="6">
        <v>-346917.73262240016</v>
      </c>
      <c r="U17" s="6">
        <v>464274.90948973072</v>
      </c>
      <c r="AA17" s="6" t="s">
        <v>95</v>
      </c>
      <c r="AB17" s="6">
        <v>-1748251.3410052236</v>
      </c>
      <c r="AC17" s="6">
        <v>1019972.7556116937</v>
      </c>
      <c r="AD17" s="6">
        <v>-1.714017684675087</v>
      </c>
      <c r="AE17" s="6">
        <v>0.13735490908642689</v>
      </c>
      <c r="AF17" s="6">
        <v>-4244034.7645564685</v>
      </c>
      <c r="AG17" s="6">
        <v>747532.08254602156</v>
      </c>
      <c r="AH17" s="6">
        <v>-4244034.7645564685</v>
      </c>
      <c r="AI17" s="6">
        <v>747532.08254602156</v>
      </c>
    </row>
    <row r="18" spans="1:35">
      <c r="A18" s="6" t="s">
        <v>25</v>
      </c>
      <c r="B18" s="6">
        <v>913.4471009061034</v>
      </c>
      <c r="C18" s="6">
        <v>2501.7610813266456</v>
      </c>
      <c r="D18" s="6">
        <v>0.36512163680382959</v>
      </c>
      <c r="E18" s="6">
        <v>0.72754572675635232</v>
      </c>
      <c r="F18" s="6">
        <v>-5208.1417377253201</v>
      </c>
      <c r="G18" s="6">
        <v>7035.0359395375272</v>
      </c>
      <c r="H18" s="6">
        <v>-5208.1417377253201</v>
      </c>
      <c r="I18" s="6">
        <v>7035.0359395375272</v>
      </c>
      <c r="M18" s="6" t="s">
        <v>22</v>
      </c>
      <c r="N18" s="6">
        <v>337.80515008263126</v>
      </c>
      <c r="O18" s="6">
        <v>1990.8152351440619</v>
      </c>
      <c r="P18" s="6">
        <v>0.16968181884452305</v>
      </c>
      <c r="Q18" s="6">
        <v>0.87083688811263982</v>
      </c>
      <c r="R18" s="6">
        <v>-4533.5442422313336</v>
      </c>
      <c r="S18" s="6">
        <v>5209.1545423965963</v>
      </c>
      <c r="T18" s="6">
        <v>-4533.5442422313336</v>
      </c>
      <c r="U18" s="6">
        <v>5209.1545423965963</v>
      </c>
      <c r="AA18" s="6" t="s">
        <v>19</v>
      </c>
      <c r="AB18" s="6">
        <v>20520.199259695502</v>
      </c>
      <c r="AC18" s="6">
        <v>11672.629334416757</v>
      </c>
      <c r="AD18" s="6">
        <v>1.7579757458066176</v>
      </c>
      <c r="AE18" s="6">
        <v>0.12925668382838659</v>
      </c>
      <c r="AF18" s="6">
        <v>-8041.695792711278</v>
      </c>
      <c r="AG18" s="6">
        <v>49082.094312102286</v>
      </c>
      <c r="AH18" s="6">
        <v>-8041.695792711278</v>
      </c>
      <c r="AI18" s="6">
        <v>49082.094312102286</v>
      </c>
    </row>
    <row r="19" spans="1:35">
      <c r="A19" s="6" t="s">
        <v>24</v>
      </c>
      <c r="B19" s="6">
        <v>82298.816009163696</v>
      </c>
      <c r="C19" s="6">
        <v>79098.236456696628</v>
      </c>
      <c r="D19" s="6">
        <v>1.040463349068715</v>
      </c>
      <c r="E19" s="6">
        <v>0.33822336426950633</v>
      </c>
      <c r="F19" s="6">
        <v>-111247.59618139437</v>
      </c>
      <c r="G19" s="6">
        <v>275845.22819972178</v>
      </c>
      <c r="H19" s="6">
        <v>-111247.59618139437</v>
      </c>
      <c r="I19" s="6">
        <v>275845.22819972178</v>
      </c>
      <c r="M19" s="6" t="s">
        <v>21</v>
      </c>
      <c r="N19" s="6">
        <v>254578.07709455746</v>
      </c>
      <c r="O19" s="6">
        <v>62860.953898277214</v>
      </c>
      <c r="P19" s="6">
        <v>4.049860228123813</v>
      </c>
      <c r="Q19" s="6">
        <v>6.7271922700427398E-3</v>
      </c>
      <c r="R19" s="6">
        <v>100762.86402658536</v>
      </c>
      <c r="S19" s="6">
        <v>408393.29016252956</v>
      </c>
      <c r="T19" s="6">
        <v>100762.86402658536</v>
      </c>
      <c r="U19" s="6">
        <v>408393.29016252956</v>
      </c>
      <c r="AA19" s="6" t="s">
        <v>18</v>
      </c>
      <c r="AB19" s="6">
        <v>120902.14470310269</v>
      </c>
      <c r="AC19" s="6">
        <v>125058.96190483177</v>
      </c>
      <c r="AD19" s="6">
        <v>0.96676114099769705</v>
      </c>
      <c r="AE19" s="6">
        <v>0.37099894455030469</v>
      </c>
      <c r="AF19" s="6">
        <v>-185106.11127371743</v>
      </c>
      <c r="AG19" s="6">
        <v>426910.40067992284</v>
      </c>
      <c r="AH19" s="6">
        <v>-185106.11127371743</v>
      </c>
      <c r="AI19" s="6">
        <v>426910.40067992284</v>
      </c>
    </row>
    <row r="20" spans="1:35" ht="16" thickBot="1">
      <c r="A20" s="7" t="s">
        <v>23</v>
      </c>
      <c r="B20" s="7">
        <v>5.5198671184724768</v>
      </c>
      <c r="C20" s="7">
        <v>57.5001368122904</v>
      </c>
      <c r="D20" s="7">
        <v>9.5997460605913368E-2</v>
      </c>
      <c r="E20" s="7">
        <v>0.92664865317713052</v>
      </c>
      <c r="F20" s="7">
        <v>-135.17789908997804</v>
      </c>
      <c r="G20" s="7">
        <v>146.21763332692302</v>
      </c>
      <c r="H20" s="7">
        <v>-135.17789908997804</v>
      </c>
      <c r="I20" s="7">
        <v>146.21763332692302</v>
      </c>
      <c r="M20" s="7" t="s">
        <v>20</v>
      </c>
      <c r="N20" s="7">
        <v>-13.777783959519553</v>
      </c>
      <c r="O20" s="7">
        <v>8.2242085462164294</v>
      </c>
      <c r="P20" s="7">
        <v>-1.6752717154598495</v>
      </c>
      <c r="Q20" s="7">
        <v>0.14490023355369608</v>
      </c>
      <c r="R20" s="7">
        <v>-33.901697317544276</v>
      </c>
      <c r="S20" s="7">
        <v>6.3461293985051697</v>
      </c>
      <c r="T20" s="7">
        <v>-33.901697317544276</v>
      </c>
      <c r="U20" s="7">
        <v>6.3461293985051697</v>
      </c>
      <c r="AA20" s="7" t="s">
        <v>17</v>
      </c>
      <c r="AB20" s="7">
        <v>0.34705668159651265</v>
      </c>
      <c r="AC20" s="7">
        <v>6.0604571539731769</v>
      </c>
      <c r="AD20" s="7">
        <v>5.7265759459909006E-2</v>
      </c>
      <c r="AE20" s="7">
        <v>0.95619296521088093</v>
      </c>
      <c r="AF20" s="7">
        <v>-14.482347751816768</v>
      </c>
      <c r="AG20" s="7">
        <v>15.176461115009793</v>
      </c>
      <c r="AH20" s="7">
        <v>-14.482347751816768</v>
      </c>
      <c r="AI20" s="7">
        <v>15.176461115009793</v>
      </c>
    </row>
    <row r="24" spans="1:35">
      <c r="A24" t="s">
        <v>108</v>
      </c>
      <c r="M24" t="s">
        <v>108</v>
      </c>
      <c r="AA24" t="s">
        <v>108</v>
      </c>
    </row>
    <row r="25" spans="1:35" ht="16" thickBot="1"/>
    <row r="26" spans="1:35">
      <c r="A26" s="8" t="s">
        <v>109</v>
      </c>
      <c r="B26" s="8" t="s">
        <v>112</v>
      </c>
      <c r="C26" s="8" t="s">
        <v>111</v>
      </c>
      <c r="M26" s="8" t="s">
        <v>109</v>
      </c>
      <c r="N26" s="8" t="s">
        <v>112</v>
      </c>
      <c r="O26" s="8" t="s">
        <v>111</v>
      </c>
      <c r="AA26" s="8" t="s">
        <v>109</v>
      </c>
      <c r="AB26" s="8" t="s">
        <v>112</v>
      </c>
      <c r="AC26" s="8" t="s">
        <v>111</v>
      </c>
    </row>
    <row r="27" spans="1:35">
      <c r="A27" s="6">
        <v>1</v>
      </c>
      <c r="B27" s="6">
        <v>241845.98969460919</v>
      </c>
      <c r="C27" s="6">
        <v>-15171.98969460919</v>
      </c>
      <c r="M27" s="6">
        <v>1</v>
      </c>
      <c r="N27" s="6">
        <v>212183.4874708484</v>
      </c>
      <c r="O27" s="6">
        <v>14490.512529151601</v>
      </c>
      <c r="AA27" s="6">
        <v>1</v>
      </c>
      <c r="AB27" s="6">
        <v>218687.68962007394</v>
      </c>
      <c r="AC27" s="6">
        <v>7986.3103799260571</v>
      </c>
    </row>
    <row r="28" spans="1:35">
      <c r="A28" s="6">
        <v>2</v>
      </c>
      <c r="B28" s="6">
        <v>256185.33176758542</v>
      </c>
      <c r="C28" s="6">
        <v>-2913.3317675854196</v>
      </c>
      <c r="M28" s="6">
        <v>2</v>
      </c>
      <c r="N28" s="6">
        <v>232057.58230510476</v>
      </c>
      <c r="O28" s="6">
        <v>21214.417694895237</v>
      </c>
      <c r="AA28" s="6">
        <v>2</v>
      </c>
      <c r="AB28" s="6">
        <v>240489.22214822387</v>
      </c>
      <c r="AC28" s="6">
        <v>12782.777851776133</v>
      </c>
    </row>
    <row r="29" spans="1:35">
      <c r="A29" s="6">
        <v>3</v>
      </c>
      <c r="B29" s="6">
        <v>248908.02332228713</v>
      </c>
      <c r="C29" s="6">
        <v>1892.976677712868</v>
      </c>
      <c r="M29" s="6">
        <v>3</v>
      </c>
      <c r="N29" s="6">
        <v>231789.16496096854</v>
      </c>
      <c r="O29" s="6">
        <v>19011.835039031459</v>
      </c>
      <c r="AA29" s="6">
        <v>3</v>
      </c>
      <c r="AB29" s="6">
        <v>220309.83254985604</v>
      </c>
      <c r="AC29" s="6">
        <v>30491.167450143956</v>
      </c>
    </row>
    <row r="30" spans="1:35">
      <c r="A30" s="6">
        <v>4</v>
      </c>
      <c r="B30" s="6">
        <v>245796.98856354947</v>
      </c>
      <c r="C30" s="6">
        <v>5725.011436450528</v>
      </c>
      <c r="M30" s="6">
        <v>4</v>
      </c>
      <c r="N30" s="6">
        <v>243446.43296804494</v>
      </c>
      <c r="O30" s="6">
        <v>8075.5670319550554</v>
      </c>
      <c r="AA30" s="6">
        <v>4</v>
      </c>
      <c r="AB30" s="6">
        <v>217894.56610924678</v>
      </c>
      <c r="AC30" s="6">
        <v>33627.433890753222</v>
      </c>
    </row>
    <row r="31" spans="1:35">
      <c r="A31" s="6">
        <v>5</v>
      </c>
      <c r="B31" s="6">
        <v>214640.39986303909</v>
      </c>
      <c r="C31" s="6">
        <v>17602.600136960915</v>
      </c>
      <c r="M31" s="6">
        <v>5</v>
      </c>
      <c r="N31" s="6">
        <v>245921.40723497223</v>
      </c>
      <c r="O31" s="6">
        <v>-13678.407234972226</v>
      </c>
      <c r="AA31" s="6">
        <v>5</v>
      </c>
      <c r="AB31" s="6">
        <v>231169.50805887632</v>
      </c>
      <c r="AC31" s="6">
        <v>1073.491941123677</v>
      </c>
    </row>
    <row r="32" spans="1:35">
      <c r="A32" s="6">
        <v>6</v>
      </c>
      <c r="B32" s="6">
        <v>194842.19045717624</v>
      </c>
      <c r="C32" s="6">
        <v>26644.809542823758</v>
      </c>
      <c r="M32" s="6">
        <v>6</v>
      </c>
      <c r="N32" s="6">
        <v>228095.72108751972</v>
      </c>
      <c r="O32" s="6">
        <v>-6608.7210875197197</v>
      </c>
      <c r="AA32" s="6">
        <v>6</v>
      </c>
      <c r="AB32" s="6">
        <v>244650.40672229399</v>
      </c>
      <c r="AC32" s="6">
        <v>-23163.406722293992</v>
      </c>
    </row>
    <row r="33" spans="1:29">
      <c r="A33" s="6">
        <v>7</v>
      </c>
      <c r="B33" s="6">
        <v>169641.82606421073</v>
      </c>
      <c r="C33" s="6">
        <v>32517.173935789266</v>
      </c>
      <c r="M33" s="6">
        <v>7</v>
      </c>
      <c r="N33" s="6">
        <v>226048.62887490808</v>
      </c>
      <c r="O33" s="6">
        <v>-23889.628874908085</v>
      </c>
      <c r="AA33" s="6">
        <v>7</v>
      </c>
      <c r="AB33" s="6">
        <v>230126.37970564846</v>
      </c>
      <c r="AC33" s="6">
        <v>-27967.379705648462</v>
      </c>
    </row>
    <row r="34" spans="1:29">
      <c r="A34" s="6">
        <v>8</v>
      </c>
      <c r="B34" s="6">
        <v>156604.71487547335</v>
      </c>
      <c r="C34" s="6">
        <v>-10322.71487547335</v>
      </c>
      <c r="M34" s="6">
        <v>8</v>
      </c>
      <c r="N34" s="6">
        <v>137792.31042957693</v>
      </c>
      <c r="O34" s="6">
        <v>8489.6895704230701</v>
      </c>
      <c r="AA34" s="6">
        <v>8</v>
      </c>
      <c r="AB34" s="6">
        <v>168454.18177668919</v>
      </c>
      <c r="AC34" s="6">
        <v>-22172.181776689191</v>
      </c>
    </row>
    <row r="35" spans="1:29">
      <c r="A35" s="6">
        <v>9</v>
      </c>
      <c r="B35" s="6">
        <v>185464.1764956176</v>
      </c>
      <c r="C35" s="6">
        <v>-50637.176495617605</v>
      </c>
      <c r="M35" s="6">
        <v>9</v>
      </c>
      <c r="N35" s="6">
        <v>135952.22794175785</v>
      </c>
      <c r="O35" s="6">
        <v>-1125.2279417578538</v>
      </c>
      <c r="AA35" s="6">
        <v>9</v>
      </c>
      <c r="AB35" s="6">
        <v>123505.75510571316</v>
      </c>
      <c r="AC35" s="6">
        <v>11321.244894286836</v>
      </c>
    </row>
    <row r="36" spans="1:29" ht="16" thickBot="1">
      <c r="A36" s="7">
        <v>10</v>
      </c>
      <c r="B36" s="7">
        <v>176266.35889645183</v>
      </c>
      <c r="C36" s="7">
        <v>-5337.3588964518276</v>
      </c>
      <c r="M36" s="7">
        <v>10</v>
      </c>
      <c r="N36" s="7">
        <v>196909.03672629848</v>
      </c>
      <c r="O36" s="7">
        <v>-25980.03672629848</v>
      </c>
      <c r="AA36" s="7">
        <v>10</v>
      </c>
      <c r="AB36" s="7">
        <v>194908.45820337898</v>
      </c>
      <c r="AC36" s="7">
        <v>-23979.458203378977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D08B-B50D-0640-8C26-83C039BCB371}">
  <dimension ref="A1:K11"/>
  <sheetViews>
    <sheetView workbookViewId="0">
      <selection activeCell="G12" sqref="G12"/>
    </sheetView>
  </sheetViews>
  <sheetFormatPr baseColWidth="10" defaultRowHeight="15"/>
  <cols>
    <col min="2" max="2" width="22.5" bestFit="1" customWidth="1"/>
    <col min="3" max="3" width="20.5" bestFit="1" customWidth="1"/>
    <col min="4" max="4" width="23.33203125" bestFit="1" customWidth="1"/>
    <col min="5" max="5" width="24.33203125" bestFit="1" customWidth="1"/>
    <col min="6" max="6" width="20.83203125" bestFit="1" customWidth="1"/>
    <col min="7" max="7" width="23.6640625" bestFit="1" customWidth="1"/>
    <col min="8" max="8" width="24.6640625" bestFit="1" customWidth="1"/>
    <col min="9" max="9" width="23" bestFit="1" customWidth="1"/>
    <col min="10" max="10" width="25.6640625" bestFit="1" customWidth="1"/>
    <col min="11" max="11" width="26.83203125" bestFit="1" customWidth="1"/>
  </cols>
  <sheetData>
    <row r="1" spans="1:11">
      <c r="A1" t="s">
        <v>12</v>
      </c>
      <c r="B1" t="s">
        <v>26</v>
      </c>
      <c r="C1" t="s">
        <v>25</v>
      </c>
      <c r="D1" t="s">
        <v>24</v>
      </c>
      <c r="E1" t="s">
        <v>23</v>
      </c>
      <c r="F1" t="s">
        <v>22</v>
      </c>
      <c r="G1" t="s">
        <v>21</v>
      </c>
      <c r="H1" t="s">
        <v>20</v>
      </c>
      <c r="I1" t="s">
        <v>19</v>
      </c>
      <c r="J1" t="s">
        <v>18</v>
      </c>
      <c r="K1" t="s">
        <v>17</v>
      </c>
    </row>
    <row r="2" spans="1:11">
      <c r="A2">
        <v>2015</v>
      </c>
      <c r="B2" s="3">
        <v>226674</v>
      </c>
      <c r="C2">
        <v>80</v>
      </c>
      <c r="D2">
        <v>1.5</v>
      </c>
      <c r="E2" s="3">
        <v>6795</v>
      </c>
      <c r="F2">
        <v>72</v>
      </c>
      <c r="G2">
        <v>1.1000000000000001</v>
      </c>
      <c r="H2" s="3">
        <v>10949</v>
      </c>
      <c r="I2">
        <v>91</v>
      </c>
      <c r="J2">
        <v>0.8</v>
      </c>
      <c r="K2" s="3">
        <v>8296</v>
      </c>
    </row>
    <row r="3" spans="1:11">
      <c r="A3">
        <v>2016</v>
      </c>
      <c r="B3" s="3">
        <v>253272</v>
      </c>
      <c r="C3">
        <v>94</v>
      </c>
      <c r="D3">
        <v>1.5</v>
      </c>
      <c r="E3" s="3">
        <v>7076</v>
      </c>
      <c r="F3">
        <v>84</v>
      </c>
      <c r="G3">
        <v>1</v>
      </c>
      <c r="H3" s="3">
        <v>7953</v>
      </c>
      <c r="I3">
        <v>92</v>
      </c>
      <c r="J3">
        <v>0.8</v>
      </c>
      <c r="K3" s="3">
        <v>11988</v>
      </c>
    </row>
    <row r="4" spans="1:11">
      <c r="A4">
        <v>2017</v>
      </c>
      <c r="B4" s="3">
        <v>250801</v>
      </c>
      <c r="C4">
        <v>87</v>
      </c>
      <c r="D4">
        <v>1.5</v>
      </c>
      <c r="E4">
        <v>6916</v>
      </c>
      <c r="F4">
        <v>85</v>
      </c>
      <c r="G4">
        <v>1</v>
      </c>
      <c r="H4">
        <v>7997</v>
      </c>
      <c r="I4">
        <v>91</v>
      </c>
      <c r="J4">
        <v>0.8</v>
      </c>
      <c r="K4" s="3">
        <v>12970</v>
      </c>
    </row>
    <row r="5" spans="1:11">
      <c r="A5">
        <v>2018</v>
      </c>
      <c r="B5" s="3">
        <v>251522</v>
      </c>
      <c r="C5">
        <v>89</v>
      </c>
      <c r="D5">
        <v>1.44</v>
      </c>
      <c r="E5">
        <v>6916</v>
      </c>
      <c r="F5">
        <v>82</v>
      </c>
      <c r="G5">
        <v>1.06</v>
      </c>
      <c r="H5" s="3">
        <v>8186</v>
      </c>
      <c r="I5">
        <v>91</v>
      </c>
      <c r="J5">
        <v>0.78</v>
      </c>
      <c r="K5" s="3">
        <v>12978</v>
      </c>
    </row>
    <row r="6" spans="1:11">
      <c r="A6">
        <v>2019</v>
      </c>
      <c r="B6" s="3">
        <v>232243</v>
      </c>
      <c r="C6">
        <v>82</v>
      </c>
      <c r="D6">
        <v>1.1200000000000001</v>
      </c>
      <c r="E6">
        <v>7201</v>
      </c>
      <c r="F6">
        <v>77</v>
      </c>
      <c r="G6">
        <v>1.05</v>
      </c>
      <c r="H6" s="3">
        <v>7699</v>
      </c>
      <c r="I6">
        <v>91</v>
      </c>
      <c r="J6">
        <v>0.89</v>
      </c>
      <c r="K6" s="3">
        <v>12908</v>
      </c>
    </row>
    <row r="7" spans="1:11">
      <c r="A7">
        <v>2020</v>
      </c>
      <c r="B7" s="3">
        <v>221487</v>
      </c>
      <c r="C7">
        <v>76</v>
      </c>
      <c r="D7">
        <v>0.93</v>
      </c>
      <c r="E7">
        <v>7440</v>
      </c>
      <c r="F7">
        <v>81</v>
      </c>
      <c r="G7">
        <v>1</v>
      </c>
      <c r="H7" s="3">
        <v>8167</v>
      </c>
      <c r="I7">
        <v>92</v>
      </c>
      <c r="J7">
        <v>0.83</v>
      </c>
      <c r="K7" s="3">
        <v>13527</v>
      </c>
    </row>
    <row r="8" spans="1:11">
      <c r="A8">
        <v>2021</v>
      </c>
      <c r="B8" s="3">
        <v>202159</v>
      </c>
      <c r="C8">
        <v>69</v>
      </c>
      <c r="D8">
        <v>0.72</v>
      </c>
      <c r="E8">
        <v>7164</v>
      </c>
      <c r="F8">
        <v>82</v>
      </c>
      <c r="G8">
        <v>0.96</v>
      </c>
      <c r="H8" s="3">
        <v>7601</v>
      </c>
      <c r="I8">
        <v>91</v>
      </c>
      <c r="J8">
        <v>0.88</v>
      </c>
      <c r="K8" s="3">
        <v>13386</v>
      </c>
    </row>
    <row r="9" spans="1:11">
      <c r="A9">
        <v>2022</v>
      </c>
      <c r="B9" s="3">
        <v>146282</v>
      </c>
      <c r="C9">
        <v>64</v>
      </c>
      <c r="D9">
        <v>0.56999999999999995</v>
      </c>
      <c r="E9">
        <v>7866</v>
      </c>
      <c r="F9">
        <v>74</v>
      </c>
      <c r="G9">
        <v>0.63</v>
      </c>
      <c r="H9" s="3">
        <v>7713</v>
      </c>
      <c r="I9">
        <v>89</v>
      </c>
      <c r="J9">
        <v>0.71</v>
      </c>
      <c r="K9" s="3">
        <v>13160</v>
      </c>
    </row>
    <row r="10" spans="1:11">
      <c r="A10">
        <v>2023</v>
      </c>
      <c r="B10" s="3">
        <v>134827</v>
      </c>
      <c r="C10">
        <v>76</v>
      </c>
      <c r="D10">
        <v>0.83</v>
      </c>
      <c r="E10">
        <v>7232</v>
      </c>
      <c r="F10">
        <v>71</v>
      </c>
      <c r="G10">
        <v>0.63</v>
      </c>
      <c r="H10" s="3">
        <v>7773</v>
      </c>
      <c r="I10">
        <v>88</v>
      </c>
      <c r="J10">
        <v>0.51</v>
      </c>
      <c r="K10" s="3">
        <v>12446</v>
      </c>
    </row>
    <row r="11" spans="1:11">
      <c r="A11">
        <v>2024</v>
      </c>
      <c r="B11" s="3">
        <v>170929</v>
      </c>
      <c r="C11">
        <v>73</v>
      </c>
      <c r="D11">
        <v>0.74</v>
      </c>
      <c r="E11">
        <v>7404</v>
      </c>
      <c r="F11">
        <v>81</v>
      </c>
      <c r="G11">
        <v>0.98</v>
      </c>
      <c r="H11" s="3">
        <v>10061</v>
      </c>
      <c r="I11">
        <v>91</v>
      </c>
      <c r="J11">
        <v>0.6</v>
      </c>
      <c r="K11" s="3">
        <v>9452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7A03-175D-D440-BA4D-B6CA36FEE9B5}">
  <dimension ref="A1:K15"/>
  <sheetViews>
    <sheetView workbookViewId="0">
      <selection sqref="A1:A11"/>
    </sheetView>
  </sheetViews>
  <sheetFormatPr baseColWidth="10" defaultRowHeight="15"/>
  <cols>
    <col min="2" max="2" width="22.83203125" bestFit="1" customWidth="1"/>
    <col min="3" max="3" width="18.83203125" customWidth="1"/>
    <col min="4" max="4" width="13.5" customWidth="1"/>
    <col min="5" max="5" width="24" bestFit="1" customWidth="1"/>
    <col min="6" max="6" width="19.5" bestFit="1" customWidth="1"/>
    <col min="7" max="7" width="21.83203125" bestFit="1" customWidth="1"/>
    <col min="8" max="8" width="19.1640625" bestFit="1" customWidth="1"/>
  </cols>
  <sheetData>
    <row r="1" spans="1:11">
      <c r="A1" t="s">
        <v>12</v>
      </c>
      <c r="B1" t="s">
        <v>16</v>
      </c>
      <c r="C1" s="9" t="s">
        <v>16</v>
      </c>
      <c r="D1" s="9"/>
      <c r="E1" t="s">
        <v>77</v>
      </c>
      <c r="F1" t="s">
        <v>78</v>
      </c>
      <c r="G1" t="s">
        <v>75</v>
      </c>
      <c r="H1" t="s">
        <v>71</v>
      </c>
    </row>
    <row r="2" spans="1:11">
      <c r="A2">
        <v>2015</v>
      </c>
      <c r="B2" s="3">
        <v>32971</v>
      </c>
      <c r="C2" s="6"/>
      <c r="D2" s="6"/>
      <c r="E2">
        <f>(B2-D3)/D7</f>
        <v>-2.4981896610427214</v>
      </c>
    </row>
    <row r="3" spans="1:11">
      <c r="A3">
        <v>2016</v>
      </c>
      <c r="B3" s="3">
        <v>139600</v>
      </c>
      <c r="C3" s="6" t="s">
        <v>33</v>
      </c>
      <c r="D3" s="6">
        <v>197810.9</v>
      </c>
      <c r="E3">
        <f>(B3-D3)/D7</f>
        <v>-0.88220065979166296</v>
      </c>
      <c r="F3" s="13">
        <f>(B3-B2)/B2</f>
        <v>3.2340238391313578</v>
      </c>
    </row>
    <row r="4" spans="1:11">
      <c r="A4">
        <v>2017</v>
      </c>
      <c r="B4" s="3">
        <v>190683</v>
      </c>
      <c r="C4" s="6" t="s">
        <v>34</v>
      </c>
      <c r="D4" s="6">
        <v>20865.891065165026</v>
      </c>
      <c r="E4">
        <f>(B4-D3)/D7</f>
        <v>-0.10802509638107279</v>
      </c>
      <c r="F4" s="13">
        <f t="shared" ref="F4:F11" si="0">(B4-B3)/B3</f>
        <v>0.36592406876790828</v>
      </c>
      <c r="G4" s="19">
        <f>(B2+B3+B4)/3</f>
        <v>121084.66666666667</v>
      </c>
    </row>
    <row r="5" spans="1:11">
      <c r="A5">
        <v>2018</v>
      </c>
      <c r="B5" s="3">
        <v>223656</v>
      </c>
      <c r="C5" s="6" t="s">
        <v>35</v>
      </c>
      <c r="D5" s="6">
        <v>221831</v>
      </c>
      <c r="E5">
        <f>(B5-D3)/D7</f>
        <v>0.39168891517536258</v>
      </c>
      <c r="F5" s="13">
        <f t="shared" si="0"/>
        <v>0.17292050156542535</v>
      </c>
      <c r="G5" s="19">
        <f t="shared" ref="G5:G11" si="1">(B3+B4+B5)/3</f>
        <v>184646.33333333334</v>
      </c>
    </row>
    <row r="6" spans="1:11">
      <c r="A6">
        <v>2019</v>
      </c>
      <c r="B6" s="3">
        <v>220006</v>
      </c>
      <c r="C6" s="6" t="s">
        <v>36</v>
      </c>
      <c r="D6" s="6" t="e">
        <v>#N/A</v>
      </c>
      <c r="E6">
        <f>(B6-D3)/D7</f>
        <v>0.33637225784418284</v>
      </c>
      <c r="F6" s="13">
        <f t="shared" si="0"/>
        <v>-1.6319705261651822E-2</v>
      </c>
      <c r="G6" s="19">
        <f t="shared" si="1"/>
        <v>211448.33333333334</v>
      </c>
      <c r="H6" s="3">
        <f>(B2+B3+B4+B5+B6)/5</f>
        <v>161383.20000000001</v>
      </c>
    </row>
    <row r="7" spans="1:11">
      <c r="A7">
        <v>2020</v>
      </c>
      <c r="B7" s="3">
        <v>251216</v>
      </c>
      <c r="C7" s="6" t="s">
        <v>37</v>
      </c>
      <c r="D7" s="6">
        <v>65983.741174878349</v>
      </c>
      <c r="E7">
        <f>(B7-D3)/D7</f>
        <v>0.80936756614722927</v>
      </c>
      <c r="F7" s="13">
        <f t="shared" si="0"/>
        <v>0.14185976746088744</v>
      </c>
      <c r="G7" s="19">
        <f t="shared" si="1"/>
        <v>231626</v>
      </c>
      <c r="H7" s="3">
        <f t="shared" ref="H7:H11" si="2">(B3+B4+B5+B6+B7)/5</f>
        <v>205032.2</v>
      </c>
    </row>
    <row r="8" spans="1:11">
      <c r="A8">
        <v>2021</v>
      </c>
      <c r="B8" s="3">
        <v>232688</v>
      </c>
      <c r="C8" s="6" t="s">
        <v>38</v>
      </c>
      <c r="D8" s="6">
        <v>4353854099.4333363</v>
      </c>
      <c r="E8">
        <f>(B8-D3)/D7</f>
        <v>0.52857112038501064</v>
      </c>
      <c r="F8" s="13">
        <f t="shared" si="0"/>
        <v>-7.3753264123304255E-2</v>
      </c>
      <c r="G8" s="19">
        <f t="shared" si="1"/>
        <v>234636.66666666666</v>
      </c>
      <c r="H8" s="3">
        <f t="shared" si="2"/>
        <v>223649.8</v>
      </c>
    </row>
    <row r="9" spans="1:11">
      <c r="A9">
        <v>2022</v>
      </c>
      <c r="B9" s="3">
        <v>242451</v>
      </c>
      <c r="C9" s="6" t="s">
        <v>39</v>
      </c>
      <c r="D9" s="6">
        <v>4.4725915425066534</v>
      </c>
      <c r="E9">
        <f>(B9-D3)/D7</f>
        <v>0.67653181230947845</v>
      </c>
      <c r="F9" s="13">
        <f t="shared" si="0"/>
        <v>4.1957470948222511E-2</v>
      </c>
      <c r="G9" s="19">
        <f t="shared" si="1"/>
        <v>242118.33333333334</v>
      </c>
      <c r="H9" s="3">
        <f t="shared" si="2"/>
        <v>234003.4</v>
      </c>
    </row>
    <row r="10" spans="1:11">
      <c r="A10">
        <v>2023</v>
      </c>
      <c r="B10" s="3">
        <v>214046</v>
      </c>
      <c r="C10" s="6" t="s">
        <v>40</v>
      </c>
      <c r="D10" s="6">
        <v>-2.0907631417962254</v>
      </c>
      <c r="E10">
        <f>(B10-D3)/D7</f>
        <v>0.24604697628422911</v>
      </c>
      <c r="F10" s="13">
        <f t="shared" si="0"/>
        <v>-0.1171576937195557</v>
      </c>
      <c r="G10" s="19">
        <f t="shared" si="1"/>
        <v>229728.33333333334</v>
      </c>
      <c r="H10" s="3">
        <f t="shared" si="2"/>
        <v>232081.4</v>
      </c>
    </row>
    <row r="11" spans="1:11">
      <c r="A11">
        <v>2024</v>
      </c>
      <c r="B11" s="3">
        <v>230792</v>
      </c>
      <c r="C11" s="6" t="s">
        <v>41</v>
      </c>
      <c r="D11" s="6">
        <v>218245</v>
      </c>
      <c r="E11">
        <f>(B11-D3)/D7</f>
        <v>0.49983676906996494</v>
      </c>
      <c r="F11" s="13">
        <f t="shared" si="0"/>
        <v>7.8235519467777959E-2</v>
      </c>
      <c r="G11" s="19">
        <f t="shared" si="1"/>
        <v>229096.33333333334</v>
      </c>
      <c r="H11" s="3">
        <f t="shared" si="2"/>
        <v>234238.6</v>
      </c>
    </row>
    <row r="12" spans="1:11">
      <c r="C12" s="6" t="s">
        <v>42</v>
      </c>
      <c r="D12" s="6">
        <v>32971</v>
      </c>
    </row>
    <row r="13" spans="1:11">
      <c r="C13" s="6" t="s">
        <v>43</v>
      </c>
      <c r="D13" s="6">
        <v>251216</v>
      </c>
    </row>
    <row r="14" spans="1:11">
      <c r="C14" s="6" t="s">
        <v>44</v>
      </c>
      <c r="D14" s="6">
        <v>1978109</v>
      </c>
    </row>
    <row r="15" spans="1:11" ht="16" thickBot="1">
      <c r="B15" s="3"/>
      <c r="C15" s="7" t="s">
        <v>45</v>
      </c>
      <c r="D15" s="7">
        <v>10</v>
      </c>
      <c r="E15" s="3"/>
      <c r="F15" s="3"/>
      <c r="G15" s="3"/>
      <c r="H15" s="3"/>
      <c r="I15" s="3"/>
      <c r="J15" s="3"/>
      <c r="K1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41D6-2635-F549-9BAE-50A9179229F6}">
  <dimension ref="A1:H15"/>
  <sheetViews>
    <sheetView workbookViewId="0">
      <selection activeCell="C22" sqref="C22"/>
    </sheetView>
  </sheetViews>
  <sheetFormatPr baseColWidth="10" defaultRowHeight="15"/>
  <cols>
    <col min="2" max="2" width="15.83203125" customWidth="1"/>
    <col min="3" max="3" width="20.33203125" customWidth="1"/>
    <col min="4" max="4" width="12.5" customWidth="1"/>
    <col min="5" max="5" width="27.6640625" bestFit="1" customWidth="1"/>
    <col min="6" max="6" width="19.5" style="13" bestFit="1" customWidth="1"/>
    <col min="7" max="8" width="21.83203125" bestFit="1" customWidth="1"/>
  </cols>
  <sheetData>
    <row r="1" spans="1:8">
      <c r="A1" t="s">
        <v>12</v>
      </c>
      <c r="B1" t="s">
        <v>15</v>
      </c>
      <c r="C1" s="9" t="s">
        <v>15</v>
      </c>
      <c r="D1" s="9"/>
      <c r="E1" t="s">
        <v>73</v>
      </c>
      <c r="F1" s="13" t="s">
        <v>74</v>
      </c>
      <c r="G1" t="s">
        <v>75</v>
      </c>
      <c r="H1" t="s">
        <v>76</v>
      </c>
    </row>
    <row r="2" spans="1:8">
      <c r="A2">
        <v>2015</v>
      </c>
      <c r="B2">
        <v>41</v>
      </c>
      <c r="C2" s="6"/>
      <c r="D2" s="6"/>
      <c r="E2">
        <f>(B2-D3)/D7</f>
        <v>-2.5745460500240962</v>
      </c>
    </row>
    <row r="3" spans="1:8">
      <c r="A3">
        <v>2016</v>
      </c>
      <c r="B3">
        <v>68</v>
      </c>
      <c r="C3" s="6" t="s">
        <v>33</v>
      </c>
      <c r="D3" s="6">
        <v>82.5</v>
      </c>
      <c r="E3">
        <f>(B3-D3)/D7</f>
        <v>-0.89954018615299747</v>
      </c>
      <c r="F3" s="13">
        <f>(B3-B2)/B2</f>
        <v>0.65853658536585369</v>
      </c>
    </row>
    <row r="4" spans="1:8">
      <c r="A4">
        <v>2017</v>
      </c>
      <c r="B4">
        <v>87</v>
      </c>
      <c r="C4" s="6" t="s">
        <v>34</v>
      </c>
      <c r="D4" s="6">
        <v>5.0973849504754227</v>
      </c>
      <c r="E4">
        <f>(B4-D3)/D7</f>
        <v>0.27916764397851646</v>
      </c>
      <c r="F4" s="13">
        <f t="shared" ref="F4:F11" si="0">(B4-B3)/B3</f>
        <v>0.27941176470588236</v>
      </c>
      <c r="G4" s="17">
        <f>(B2+B3+B4)/3</f>
        <v>65.333333333333329</v>
      </c>
    </row>
    <row r="5" spans="1:8">
      <c r="A5">
        <v>2018</v>
      </c>
      <c r="B5">
        <v>91</v>
      </c>
      <c r="C5" s="6" t="s">
        <v>35</v>
      </c>
      <c r="D5" s="6">
        <v>89.5</v>
      </c>
      <c r="E5">
        <f>(B5-D3)/D7</f>
        <v>0.52731666084830886</v>
      </c>
      <c r="F5" s="13">
        <f t="shared" si="0"/>
        <v>4.5977011494252873E-2</v>
      </c>
      <c r="G5" s="17">
        <f t="shared" ref="G5:G11" si="1">(B3+B4+B5)/3</f>
        <v>82</v>
      </c>
    </row>
    <row r="6" spans="1:8">
      <c r="A6">
        <v>2019</v>
      </c>
      <c r="B6">
        <v>91</v>
      </c>
      <c r="C6" s="6" t="s">
        <v>36</v>
      </c>
      <c r="D6" s="6">
        <v>90</v>
      </c>
      <c r="E6">
        <f>(B6-D3)/D7</f>
        <v>0.52731666084830886</v>
      </c>
      <c r="F6" s="13">
        <f t="shared" si="0"/>
        <v>0</v>
      </c>
      <c r="G6" s="17">
        <f t="shared" si="1"/>
        <v>89.666666666666671</v>
      </c>
      <c r="H6">
        <f>(B2+B3+B4+B5+B6)/5</f>
        <v>75.599999999999994</v>
      </c>
    </row>
    <row r="7" spans="1:8">
      <c r="A7">
        <v>2020</v>
      </c>
      <c r="B7">
        <v>90</v>
      </c>
      <c r="C7" s="6" t="s">
        <v>37</v>
      </c>
      <c r="D7" s="6">
        <v>16.119346554166931</v>
      </c>
      <c r="E7">
        <f>(B7-D3)/D7</f>
        <v>0.46527940663086076</v>
      </c>
      <c r="F7" s="13">
        <f t="shared" si="0"/>
        <v>-1.098901098901099E-2</v>
      </c>
      <c r="G7" s="17">
        <f t="shared" si="1"/>
        <v>90.666666666666671</v>
      </c>
      <c r="H7">
        <f t="shared" ref="H7:H11" si="2">(B3+B4+B5+B6+B7)/5</f>
        <v>85.4</v>
      </c>
    </row>
    <row r="8" spans="1:8">
      <c r="A8">
        <v>2021</v>
      </c>
      <c r="B8">
        <v>89</v>
      </c>
      <c r="C8" s="6" t="s">
        <v>38</v>
      </c>
      <c r="D8" s="6">
        <v>259.83333333333331</v>
      </c>
      <c r="E8">
        <f>(B8-D3)/D7</f>
        <v>0.40324215241341266</v>
      </c>
      <c r="F8" s="13">
        <f t="shared" si="0"/>
        <v>-1.1111111111111112E-2</v>
      </c>
      <c r="G8" s="17">
        <f t="shared" si="1"/>
        <v>90</v>
      </c>
      <c r="H8">
        <f t="shared" si="2"/>
        <v>89.6</v>
      </c>
    </row>
    <row r="9" spans="1:8">
      <c r="A9">
        <v>2022</v>
      </c>
      <c r="B9">
        <v>90</v>
      </c>
      <c r="C9" s="6" t="s">
        <v>39</v>
      </c>
      <c r="D9" s="6">
        <v>5.4669210392040553</v>
      </c>
      <c r="E9">
        <f>(B9-D3)/D7</f>
        <v>0.46527940663086076</v>
      </c>
      <c r="F9" s="13">
        <f t="shared" si="0"/>
        <v>1.1235955056179775E-2</v>
      </c>
      <c r="G9" s="17">
        <f t="shared" si="1"/>
        <v>89.666666666666671</v>
      </c>
      <c r="H9">
        <f t="shared" si="2"/>
        <v>90.2</v>
      </c>
    </row>
    <row r="10" spans="1:8">
      <c r="A10">
        <v>2023</v>
      </c>
      <c r="B10">
        <v>90</v>
      </c>
      <c r="C10" s="6" t="s">
        <v>40</v>
      </c>
      <c r="D10" s="6">
        <v>-2.3708656871555851</v>
      </c>
      <c r="E10">
        <f>(B10-D3)/D7</f>
        <v>0.46527940663086076</v>
      </c>
      <c r="F10" s="13">
        <f t="shared" si="0"/>
        <v>0</v>
      </c>
      <c r="G10" s="17">
        <f t="shared" si="1"/>
        <v>89.666666666666671</v>
      </c>
      <c r="H10">
        <f t="shared" si="2"/>
        <v>90</v>
      </c>
    </row>
    <row r="11" spans="1:8">
      <c r="A11">
        <v>2024</v>
      </c>
      <c r="B11">
        <v>88</v>
      </c>
      <c r="C11" s="6" t="s">
        <v>41</v>
      </c>
      <c r="D11" s="6">
        <v>50</v>
      </c>
      <c r="E11">
        <f>(B11-D3)/D7</f>
        <v>0.34120489819596456</v>
      </c>
      <c r="F11" s="13">
        <f t="shared" si="0"/>
        <v>-2.2222222222222223E-2</v>
      </c>
      <c r="G11" s="17">
        <f t="shared" si="1"/>
        <v>89.333333333333329</v>
      </c>
      <c r="H11">
        <f t="shared" si="2"/>
        <v>89.4</v>
      </c>
    </row>
    <row r="12" spans="1:8">
      <c r="C12" s="6" t="s">
        <v>42</v>
      </c>
      <c r="D12" s="6">
        <v>41</v>
      </c>
    </row>
    <row r="13" spans="1:8">
      <c r="C13" s="6" t="s">
        <v>43</v>
      </c>
      <c r="D13" s="6">
        <v>91</v>
      </c>
    </row>
    <row r="14" spans="1:8">
      <c r="C14" s="6" t="s">
        <v>44</v>
      </c>
      <c r="D14" s="6">
        <v>825</v>
      </c>
    </row>
    <row r="15" spans="1:8" ht="16" thickBot="1">
      <c r="C15" s="7" t="s">
        <v>45</v>
      </c>
      <c r="D15" s="7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A4F9-7757-6C45-B9D6-1992527547CA}">
  <dimension ref="A1:H15"/>
  <sheetViews>
    <sheetView workbookViewId="0">
      <selection activeCell="B1" sqref="B1:B11"/>
    </sheetView>
  </sheetViews>
  <sheetFormatPr baseColWidth="10" defaultRowHeight="15"/>
  <cols>
    <col min="2" max="2" width="25.1640625" bestFit="1" customWidth="1"/>
    <col min="3" max="3" width="26.33203125" bestFit="1" customWidth="1"/>
    <col min="4" max="4" width="18.6640625" customWidth="1"/>
    <col min="5" max="5" width="14.5" customWidth="1"/>
    <col min="6" max="6" width="20.1640625" bestFit="1" customWidth="1"/>
    <col min="7" max="8" width="19.1640625" bestFit="1" customWidth="1"/>
  </cols>
  <sheetData>
    <row r="1" spans="1:8">
      <c r="A1" t="s">
        <v>12</v>
      </c>
      <c r="B1" t="s">
        <v>14</v>
      </c>
      <c r="C1" t="s">
        <v>47</v>
      </c>
      <c r="D1" s="9" t="s">
        <v>14</v>
      </c>
      <c r="E1" s="9"/>
      <c r="F1" t="s">
        <v>69</v>
      </c>
      <c r="G1" t="s">
        <v>72</v>
      </c>
      <c r="H1" t="s">
        <v>71</v>
      </c>
    </row>
    <row r="2" spans="1:8">
      <c r="A2">
        <v>2015</v>
      </c>
      <c r="B2">
        <v>0.6</v>
      </c>
      <c r="C2">
        <f>(B2-E3)/E7</f>
        <v>1.8063558199631113</v>
      </c>
      <c r="D2" s="6"/>
      <c r="E2" s="6"/>
    </row>
    <row r="3" spans="1:8">
      <c r="A3">
        <v>2016</v>
      </c>
      <c r="B3">
        <v>0.6</v>
      </c>
      <c r="C3">
        <f>(B3-E3)/E7</f>
        <v>1.8063558199631113</v>
      </c>
      <c r="D3" s="6" t="s">
        <v>33</v>
      </c>
      <c r="E3" s="6">
        <v>0.51200000000000001</v>
      </c>
      <c r="F3" s="20">
        <f>(B3-B2)/B2</f>
        <v>0</v>
      </c>
    </row>
    <row r="4" spans="1:8">
      <c r="A4">
        <v>2017</v>
      </c>
      <c r="B4">
        <v>0.5</v>
      </c>
      <c r="C4">
        <f>(B4-E3)/E7</f>
        <v>-0.24632124817678822</v>
      </c>
      <c r="D4" s="6" t="s">
        <v>34</v>
      </c>
      <c r="E4" s="6">
        <v>1.5405626677721791E-2</v>
      </c>
      <c r="F4" s="20">
        <f>(B4-B3)/B3</f>
        <v>-0.16666666666666663</v>
      </c>
      <c r="G4" s="16">
        <f>(B2+B3+B4)/3</f>
        <v>0.56666666666666665</v>
      </c>
    </row>
    <row r="5" spans="1:8">
      <c r="A5">
        <v>2018</v>
      </c>
      <c r="B5">
        <v>0.5</v>
      </c>
      <c r="C5">
        <f>(B5-E3)/E7</f>
        <v>-0.24632124817678822</v>
      </c>
      <c r="D5" s="6" t="s">
        <v>35</v>
      </c>
      <c r="E5" s="6">
        <v>0.5</v>
      </c>
      <c r="F5" s="20">
        <f t="shared" ref="F5:F11" si="0">(B5-B4)/B4</f>
        <v>0</v>
      </c>
      <c r="G5" s="16">
        <f>(B3+B4+B5)/3</f>
        <v>0.53333333333333333</v>
      </c>
    </row>
    <row r="6" spans="1:8">
      <c r="A6">
        <v>2019</v>
      </c>
      <c r="B6">
        <v>0.5</v>
      </c>
      <c r="C6">
        <f>(B6-E3)/E7</f>
        <v>-0.24632124817678822</v>
      </c>
      <c r="D6" s="6" t="s">
        <v>36</v>
      </c>
      <c r="E6" s="6">
        <v>0.5</v>
      </c>
      <c r="F6" s="20">
        <f t="shared" si="0"/>
        <v>0</v>
      </c>
      <c r="G6" s="16">
        <f t="shared" ref="G6:G11" si="1">(B4+B5+B6)/3</f>
        <v>0.5</v>
      </c>
      <c r="H6">
        <f>(B2+B3+B4+B5+B6)/5</f>
        <v>0.54</v>
      </c>
    </row>
    <row r="7" spans="1:8">
      <c r="A7">
        <v>2020</v>
      </c>
      <c r="B7">
        <v>0.49</v>
      </c>
      <c r="C7">
        <f>(B7-E3)/E7</f>
        <v>-0.45158895499077839</v>
      </c>
      <c r="D7" s="6" t="s">
        <v>37</v>
      </c>
      <c r="E7" s="6">
        <v>4.8716869083853628E-2</v>
      </c>
      <c r="F7" s="20">
        <f t="shared" si="0"/>
        <v>-2.0000000000000018E-2</v>
      </c>
      <c r="G7" s="16">
        <f t="shared" si="1"/>
        <v>0.49666666666666665</v>
      </c>
      <c r="H7">
        <f t="shared" ref="H7:H11" si="2">(B3+B4+B5+B6+B7)/5</f>
        <v>0.51800000000000002</v>
      </c>
    </row>
    <row r="8" spans="1:8">
      <c r="A8">
        <v>2021</v>
      </c>
      <c r="B8">
        <v>0.47</v>
      </c>
      <c r="C8">
        <f>(B8-E3)/E7</f>
        <v>-0.86212436861875874</v>
      </c>
      <c r="D8" s="6" t="s">
        <v>38</v>
      </c>
      <c r="E8" s="6">
        <v>2.3733333333333332E-3</v>
      </c>
      <c r="F8" s="20">
        <f t="shared" si="0"/>
        <v>-4.0816326530612283E-2</v>
      </c>
      <c r="G8" s="16">
        <f t="shared" si="1"/>
        <v>0.48666666666666664</v>
      </c>
      <c r="H8">
        <f t="shared" si="2"/>
        <v>0.49199999999999999</v>
      </c>
    </row>
    <row r="9" spans="1:8">
      <c r="A9">
        <v>2022</v>
      </c>
      <c r="B9">
        <v>0.46</v>
      </c>
      <c r="C9">
        <f>(B9-E3)/E7</f>
        <v>-1.0673920754327477</v>
      </c>
      <c r="D9" s="6" t="s">
        <v>39</v>
      </c>
      <c r="E9" s="6">
        <v>0.73250694356772339</v>
      </c>
      <c r="F9" s="20">
        <f t="shared" si="0"/>
        <v>-2.1276595744680753E-2</v>
      </c>
      <c r="G9" s="16">
        <f t="shared" si="1"/>
        <v>0.47333333333333333</v>
      </c>
      <c r="H9">
        <f t="shared" si="2"/>
        <v>0.48399999999999999</v>
      </c>
    </row>
    <row r="10" spans="1:8">
      <c r="A10">
        <v>2023</v>
      </c>
      <c r="B10">
        <v>0.49</v>
      </c>
      <c r="C10">
        <f>(B10-E3)/E7</f>
        <v>-0.45158895499077839</v>
      </c>
      <c r="D10" s="6" t="s">
        <v>40</v>
      </c>
      <c r="E10" s="6">
        <v>1.347501771978354</v>
      </c>
      <c r="F10" s="20">
        <f t="shared" si="0"/>
        <v>6.5217391304347755E-2</v>
      </c>
      <c r="G10" s="16">
        <f t="shared" si="1"/>
        <v>0.47333333333333333</v>
      </c>
      <c r="H10">
        <f t="shared" si="2"/>
        <v>0.48200000000000004</v>
      </c>
    </row>
    <row r="11" spans="1:8">
      <c r="A11">
        <v>2024</v>
      </c>
      <c r="B11">
        <v>0.51</v>
      </c>
      <c r="C11">
        <f>(B11-E3)/E7</f>
        <v>-4.1053541362798034E-2</v>
      </c>
      <c r="D11" s="6" t="s">
        <v>41</v>
      </c>
      <c r="E11" s="6">
        <v>0.13999999999999996</v>
      </c>
      <c r="F11" s="20">
        <f t="shared" si="0"/>
        <v>4.0816326530612283E-2</v>
      </c>
      <c r="G11" s="16">
        <f t="shared" si="1"/>
        <v>0.48666666666666664</v>
      </c>
      <c r="H11">
        <f t="shared" si="2"/>
        <v>0.48399999999999999</v>
      </c>
    </row>
    <row r="12" spans="1:8">
      <c r="D12" s="6" t="s">
        <v>42</v>
      </c>
      <c r="E12" s="6">
        <v>0.46</v>
      </c>
    </row>
    <row r="13" spans="1:8">
      <c r="D13" s="6" t="s">
        <v>43</v>
      </c>
      <c r="E13" s="6">
        <v>0.6</v>
      </c>
    </row>
    <row r="14" spans="1:8">
      <c r="D14" s="6" t="s">
        <v>44</v>
      </c>
      <c r="E14" s="6">
        <v>5.12</v>
      </c>
    </row>
    <row r="15" spans="1:8" ht="16" thickBot="1">
      <c r="D15" s="7" t="s">
        <v>45</v>
      </c>
      <c r="E15" s="7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14D5-ADAC-0942-89A6-F16784381411}">
  <dimension ref="A1:K15"/>
  <sheetViews>
    <sheetView topLeftCell="B1" workbookViewId="0">
      <selection activeCell="B1" sqref="B1:B11"/>
    </sheetView>
  </sheetViews>
  <sheetFormatPr baseColWidth="10" defaultRowHeight="15"/>
  <cols>
    <col min="2" max="2" width="29.5" bestFit="1" customWidth="1"/>
    <col min="3" max="3" width="20.1640625" bestFit="1" customWidth="1"/>
    <col min="4" max="4" width="34.33203125" bestFit="1" customWidth="1"/>
    <col min="5" max="5" width="22.1640625" customWidth="1"/>
    <col min="7" max="7" width="19.5" bestFit="1" customWidth="1"/>
    <col min="8" max="8" width="19.1640625" bestFit="1" customWidth="1"/>
  </cols>
  <sheetData>
    <row r="1" spans="1:11">
      <c r="A1" t="s">
        <v>12</v>
      </c>
      <c r="B1" t="s">
        <v>13</v>
      </c>
      <c r="C1" t="s">
        <v>69</v>
      </c>
      <c r="D1" t="s">
        <v>46</v>
      </c>
      <c r="E1" s="9" t="s">
        <v>13</v>
      </c>
      <c r="F1" s="9"/>
      <c r="G1" t="s">
        <v>70</v>
      </c>
      <c r="H1" t="s">
        <v>71</v>
      </c>
    </row>
    <row r="2" spans="1:11">
      <c r="A2">
        <v>2015</v>
      </c>
      <c r="B2" s="3">
        <v>14016</v>
      </c>
      <c r="C2" s="13"/>
      <c r="D2" s="3">
        <f>(B2-F3)/F7</f>
        <v>-2.440405424508318</v>
      </c>
      <c r="E2" s="6"/>
      <c r="F2" s="6"/>
    </row>
    <row r="3" spans="1:11">
      <c r="A3">
        <v>2016</v>
      </c>
      <c r="B3" s="3">
        <v>36369</v>
      </c>
      <c r="C3" s="15">
        <f t="shared" ref="C3:C11" si="0">(B3-B2)/B2</f>
        <v>1.594820205479452</v>
      </c>
      <c r="D3">
        <f>(B3-F3)/F7</f>
        <v>-0.74748762264707003</v>
      </c>
      <c r="E3" s="6" t="s">
        <v>33</v>
      </c>
      <c r="F3" s="6">
        <v>46238.7</v>
      </c>
    </row>
    <row r="4" spans="1:11">
      <c r="A4">
        <v>2017</v>
      </c>
      <c r="B4" s="3">
        <v>42087</v>
      </c>
      <c r="C4" s="15">
        <f t="shared" si="0"/>
        <v>0.157221809783057</v>
      </c>
      <c r="D4">
        <f>(B4-F3)/F7</f>
        <v>-0.31443147845870079</v>
      </c>
      <c r="E4" s="6" t="s">
        <v>34</v>
      </c>
      <c r="F4" s="6">
        <v>4175.4178767586291</v>
      </c>
      <c r="G4">
        <f>(B2+B3+B4)/3</f>
        <v>30824</v>
      </c>
    </row>
    <row r="5" spans="1:11">
      <c r="A5">
        <v>2018</v>
      </c>
      <c r="B5" s="3">
        <v>48750</v>
      </c>
      <c r="C5" s="15">
        <f t="shared" si="0"/>
        <v>0.15831491909615797</v>
      </c>
      <c r="D5">
        <f>(B5-F3)/F7</f>
        <v>0.19019480498430444</v>
      </c>
      <c r="E5" s="6" t="s">
        <v>35</v>
      </c>
      <c r="F5" s="6">
        <v>49039.5</v>
      </c>
      <c r="G5">
        <f>(B3+B4+B5)/3</f>
        <v>42402</v>
      </c>
    </row>
    <row r="6" spans="1:11">
      <c r="A6">
        <v>2019</v>
      </c>
      <c r="B6" s="3">
        <v>48858</v>
      </c>
      <c r="C6" s="15">
        <f t="shared" si="0"/>
        <v>2.2153846153846156E-3</v>
      </c>
      <c r="D6">
        <f>(B6-F3)/F7</f>
        <v>0.19837424947054855</v>
      </c>
      <c r="E6" s="6" t="s">
        <v>36</v>
      </c>
      <c r="F6" s="6" t="e">
        <v>#N/A</v>
      </c>
      <c r="G6">
        <f t="shared" ref="G6:G10" si="1">(B4+B5+B6)/3</f>
        <v>46565</v>
      </c>
      <c r="H6">
        <f>(B2+B3+B4+B5+B6)/5</f>
        <v>38016</v>
      </c>
    </row>
    <row r="7" spans="1:11">
      <c r="A7">
        <v>2020</v>
      </c>
      <c r="B7" s="3">
        <v>56589</v>
      </c>
      <c r="C7" s="15">
        <f t="shared" si="0"/>
        <v>0.15823406606901633</v>
      </c>
      <c r="D7">
        <f>(B7-F3)/F7</f>
        <v>0.78388615061085676</v>
      </c>
      <c r="E7" s="6" t="s">
        <v>37</v>
      </c>
      <c r="F7" s="6">
        <v>13203.830673541501</v>
      </c>
      <c r="G7">
        <f t="shared" si="1"/>
        <v>51399</v>
      </c>
      <c r="H7" s="19">
        <f>(B3+B4+B5+B6+B7)/5</f>
        <v>46530.6</v>
      </c>
    </row>
    <row r="8" spans="1:11">
      <c r="A8">
        <v>2021</v>
      </c>
      <c r="B8" s="3">
        <v>56329</v>
      </c>
      <c r="C8" s="15">
        <f t="shared" si="0"/>
        <v>-4.594532506317482E-3</v>
      </c>
      <c r="D8">
        <f>(B8-F3)/F7</f>
        <v>0.764194895366195</v>
      </c>
      <c r="E8" s="6" t="s">
        <v>38</v>
      </c>
      <c r="F8" s="6">
        <v>174341144.45555538</v>
      </c>
      <c r="G8" s="19">
        <f t="shared" si="1"/>
        <v>53925.333333333336</v>
      </c>
      <c r="H8" s="19">
        <f>(B4+B5+B6+B7+B8)/5</f>
        <v>50522.6</v>
      </c>
    </row>
    <row r="9" spans="1:11">
      <c r="A9">
        <v>2022</v>
      </c>
      <c r="B9" s="3">
        <v>58568</v>
      </c>
      <c r="C9" s="15">
        <f t="shared" si="0"/>
        <v>3.9748619716309538E-2</v>
      </c>
      <c r="D9">
        <f>(B9-F3)/F7</f>
        <v>0.93376689726157069</v>
      </c>
      <c r="E9" s="6" t="s">
        <v>39</v>
      </c>
      <c r="F9" s="6">
        <v>3.8176387387408512</v>
      </c>
      <c r="G9">
        <f t="shared" si="1"/>
        <v>57162</v>
      </c>
      <c r="H9" s="19">
        <f t="shared" ref="H9:H10" si="2">(B5+B6+B7+B8+B9)/5</f>
        <v>53818.8</v>
      </c>
    </row>
    <row r="10" spans="1:11">
      <c r="A10">
        <v>2023</v>
      </c>
      <c r="B10" s="3">
        <v>49221</v>
      </c>
      <c r="C10" s="15">
        <f t="shared" si="0"/>
        <v>-0.15959226881573554</v>
      </c>
      <c r="D10">
        <f>(B10-F3)/F7</f>
        <v>0.22586627121598019</v>
      </c>
      <c r="E10" s="6" t="s">
        <v>40</v>
      </c>
      <c r="F10" s="6">
        <v>-1.81905620380216</v>
      </c>
      <c r="G10">
        <f t="shared" si="1"/>
        <v>54706</v>
      </c>
      <c r="H10">
        <f t="shared" si="2"/>
        <v>53913</v>
      </c>
    </row>
    <row r="11" spans="1:11">
      <c r="A11">
        <v>2024</v>
      </c>
      <c r="B11" s="3">
        <v>51300</v>
      </c>
      <c r="C11" s="15">
        <f t="shared" si="0"/>
        <v>4.2238069116840374E-2</v>
      </c>
      <c r="D11">
        <f>(B11-F3)/F7</f>
        <v>0.38332057757617949</v>
      </c>
      <c r="E11" s="6" t="s">
        <v>41</v>
      </c>
      <c r="F11" s="6">
        <v>44852</v>
      </c>
    </row>
    <row r="12" spans="1:11">
      <c r="E12" s="6" t="s">
        <v>42</v>
      </c>
      <c r="F12" s="6">
        <v>14016</v>
      </c>
    </row>
    <row r="13" spans="1:11" ht="19">
      <c r="B13" s="3"/>
      <c r="C13" s="3"/>
      <c r="D13" s="4"/>
      <c r="E13" s="6" t="s">
        <v>43</v>
      </c>
      <c r="F13" s="6">
        <v>58868</v>
      </c>
      <c r="G13" s="3"/>
      <c r="H13" s="3"/>
      <c r="I13" s="3"/>
      <c r="J13" s="3"/>
      <c r="K13" s="3"/>
    </row>
    <row r="14" spans="1:11">
      <c r="D14" s="3"/>
      <c r="E14" s="6" t="s">
        <v>44</v>
      </c>
      <c r="F14" s="6">
        <v>462387</v>
      </c>
    </row>
    <row r="15" spans="1:11" ht="16" thickBot="1">
      <c r="E15" s="7" t="s">
        <v>45</v>
      </c>
      <c r="F15" s="7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D454-5F17-4248-93C0-3F6CDC5EB7A3}">
  <dimension ref="A1:K15"/>
  <sheetViews>
    <sheetView workbookViewId="0">
      <selection activeCell="F29" sqref="F29"/>
    </sheetView>
  </sheetViews>
  <sheetFormatPr baseColWidth="10" defaultRowHeight="15"/>
  <cols>
    <col min="2" max="2" width="22.5" bestFit="1" customWidth="1"/>
    <col min="3" max="3" width="18.83203125" bestFit="1" customWidth="1"/>
    <col min="4" max="4" width="15.6640625" bestFit="1" customWidth="1"/>
    <col min="5" max="5" width="11.5" customWidth="1"/>
    <col min="6" max="6" width="30.6640625" bestFit="1" customWidth="1"/>
    <col min="7" max="7" width="22.1640625" bestFit="1" customWidth="1"/>
    <col min="8" max="8" width="21.83203125" bestFit="1" customWidth="1"/>
  </cols>
  <sheetData>
    <row r="1" spans="1:11">
      <c r="A1" t="s">
        <v>12</v>
      </c>
      <c r="B1" t="s">
        <v>26</v>
      </c>
      <c r="C1" t="s">
        <v>84</v>
      </c>
      <c r="D1" s="9" t="s">
        <v>26</v>
      </c>
      <c r="E1" s="9"/>
      <c r="F1" t="s">
        <v>57</v>
      </c>
      <c r="G1" t="s">
        <v>80</v>
      </c>
      <c r="H1" t="s">
        <v>76</v>
      </c>
    </row>
    <row r="2" spans="1:11">
      <c r="A2">
        <v>2015</v>
      </c>
      <c r="B2" s="3">
        <v>226674</v>
      </c>
      <c r="D2" s="6"/>
      <c r="E2" s="6"/>
      <c r="F2">
        <f>(B2-E3)/E7</f>
        <v>0.40087572279476208</v>
      </c>
    </row>
    <row r="3" spans="1:11">
      <c r="A3">
        <v>2016</v>
      </c>
      <c r="B3" s="3">
        <v>253272</v>
      </c>
      <c r="C3">
        <f>(B3-B2)/B2</f>
        <v>0.1173403213425448</v>
      </c>
      <c r="D3" s="6" t="s">
        <v>33</v>
      </c>
      <c r="E3" s="6">
        <v>209019.6</v>
      </c>
      <c r="F3">
        <f>(B3-E3)/E7</f>
        <v>1.0048323837345325</v>
      </c>
    </row>
    <row r="4" spans="1:11">
      <c r="A4">
        <v>2017</v>
      </c>
      <c r="B4" s="3">
        <v>250801</v>
      </c>
      <c r="C4">
        <f t="shared" ref="C4:C11" si="0">(B4-B3)/B3</f>
        <v>-9.7563094222811834E-3</v>
      </c>
      <c r="D4" s="6" t="s">
        <v>34</v>
      </c>
      <c r="E4" s="6">
        <v>13926.539211320402</v>
      </c>
      <c r="F4">
        <f>(B4-E3)/E7</f>
        <v>0.94872376995973096</v>
      </c>
      <c r="G4">
        <f>(B2+B3+B4)/3</f>
        <v>243582.33333333334</v>
      </c>
    </row>
    <row r="5" spans="1:11">
      <c r="A5">
        <v>2018</v>
      </c>
      <c r="B5" s="3">
        <v>251522</v>
      </c>
      <c r="C5">
        <f t="shared" si="0"/>
        <v>2.8747891754817563E-3</v>
      </c>
      <c r="D5" s="6" t="s">
        <v>35</v>
      </c>
      <c r="E5" s="6">
        <v>224080.5</v>
      </c>
      <c r="F5">
        <f>(B5-E3)/E7</f>
        <v>0.96509540514048042</v>
      </c>
      <c r="G5">
        <f t="shared" ref="G5:G11" si="1">(B3+B4+B5)/3</f>
        <v>251865</v>
      </c>
    </row>
    <row r="6" spans="1:11">
      <c r="A6">
        <v>2019</v>
      </c>
      <c r="B6" s="3">
        <v>232243</v>
      </c>
      <c r="C6">
        <f t="shared" si="0"/>
        <v>-7.6649358704208775E-2</v>
      </c>
      <c r="D6" s="6" t="s">
        <v>36</v>
      </c>
      <c r="E6" s="6" t="e">
        <v>#N/A</v>
      </c>
      <c r="F6">
        <f>(B6-E3)/E7</f>
        <v>0.52733014210349138</v>
      </c>
      <c r="G6">
        <f t="shared" si="1"/>
        <v>244855.33333333334</v>
      </c>
      <c r="H6">
        <f>(B2+B3+B4+B5+B6)/5</f>
        <v>242902.39999999999</v>
      </c>
    </row>
    <row r="7" spans="1:11">
      <c r="A7">
        <v>2020</v>
      </c>
      <c r="B7" s="3">
        <v>221487</v>
      </c>
      <c r="C7">
        <f t="shared" si="0"/>
        <v>-4.6313559504484528E-2</v>
      </c>
      <c r="D7" s="6" t="s">
        <v>37</v>
      </c>
      <c r="E7" s="6">
        <v>44039.583831417469</v>
      </c>
      <c r="F7">
        <f>(B7-E3)/E7</f>
        <v>0.28309531824199158</v>
      </c>
      <c r="G7">
        <f t="shared" si="1"/>
        <v>235084</v>
      </c>
      <c r="H7">
        <f t="shared" ref="H7:H11" si="2">(B3+B4+B5+B6+B7)/5</f>
        <v>241865</v>
      </c>
    </row>
    <row r="8" spans="1:11">
      <c r="A8">
        <v>2021</v>
      </c>
      <c r="B8" s="3">
        <v>202159</v>
      </c>
      <c r="C8">
        <f t="shared" si="0"/>
        <v>-8.7264715310605132E-2</v>
      </c>
      <c r="D8" s="6" t="s">
        <v>38</v>
      </c>
      <c r="E8" s="6">
        <v>1939484944.0444472</v>
      </c>
      <c r="F8">
        <f>(B8-E3)/E7</f>
        <v>-0.15578258019563099</v>
      </c>
      <c r="G8">
        <f t="shared" si="1"/>
        <v>218629.66666666666</v>
      </c>
      <c r="H8">
        <f t="shared" si="2"/>
        <v>231642.4</v>
      </c>
    </row>
    <row r="9" spans="1:11">
      <c r="A9">
        <v>2022</v>
      </c>
      <c r="B9" s="3">
        <v>146282</v>
      </c>
      <c r="C9">
        <f t="shared" si="0"/>
        <v>-0.27640124852220282</v>
      </c>
      <c r="D9" s="6" t="s">
        <v>39</v>
      </c>
      <c r="E9" s="6">
        <v>-0.94751146186048718</v>
      </c>
      <c r="F9">
        <f>(B9-E3)/E7</f>
        <v>-1.4245729532812599</v>
      </c>
      <c r="G9">
        <f t="shared" si="1"/>
        <v>189976</v>
      </c>
      <c r="H9">
        <f t="shared" si="2"/>
        <v>210738.6</v>
      </c>
    </row>
    <row r="10" spans="1:11">
      <c r="A10">
        <v>2023</v>
      </c>
      <c r="B10" s="3">
        <v>134827</v>
      </c>
      <c r="C10">
        <f t="shared" si="0"/>
        <v>-7.8307652342735262E-2</v>
      </c>
      <c r="D10" s="6" t="s">
        <v>40</v>
      </c>
      <c r="E10" s="6">
        <v>-0.73917768574564646</v>
      </c>
      <c r="F10">
        <f>(B10-E3)/E7</f>
        <v>-1.6846798617354697</v>
      </c>
      <c r="G10">
        <f t="shared" si="1"/>
        <v>161089.33333333334</v>
      </c>
      <c r="H10">
        <f t="shared" si="2"/>
        <v>187399.6</v>
      </c>
    </row>
    <row r="11" spans="1:11">
      <c r="A11">
        <v>2024</v>
      </c>
      <c r="B11" s="3">
        <v>170929</v>
      </c>
      <c r="C11">
        <f t="shared" si="0"/>
        <v>0.26776535857061273</v>
      </c>
      <c r="D11" s="6" t="s">
        <v>41</v>
      </c>
      <c r="E11" s="6">
        <v>118445</v>
      </c>
      <c r="F11">
        <f>(B11-E3)/E7</f>
        <v>-0.86491734676262977</v>
      </c>
      <c r="G11">
        <f t="shared" si="1"/>
        <v>150679.33333333334</v>
      </c>
      <c r="H11">
        <f t="shared" si="2"/>
        <v>175136.8</v>
      </c>
    </row>
    <row r="12" spans="1:11">
      <c r="D12" s="6" t="s">
        <v>42</v>
      </c>
      <c r="E12" s="6">
        <v>134827</v>
      </c>
    </row>
    <row r="13" spans="1:11">
      <c r="D13" s="6" t="s">
        <v>43</v>
      </c>
      <c r="E13" s="6">
        <v>253272</v>
      </c>
    </row>
    <row r="14" spans="1:11">
      <c r="D14" s="6" t="s">
        <v>44</v>
      </c>
      <c r="E14" s="6">
        <v>2090196</v>
      </c>
    </row>
    <row r="15" spans="1:11" ht="16" thickBot="1">
      <c r="B15" s="3"/>
      <c r="C15" s="3"/>
      <c r="D15" s="7" t="s">
        <v>45</v>
      </c>
      <c r="E15" s="7">
        <v>10</v>
      </c>
      <c r="F15" s="3"/>
      <c r="G15" s="3"/>
      <c r="H15" s="3"/>
      <c r="I15" s="3"/>
      <c r="J15" s="3"/>
      <c r="K1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6E87-9149-A147-A58B-F81CE69C3F87}">
  <dimension ref="A1:H15"/>
  <sheetViews>
    <sheetView workbookViewId="0">
      <selection activeCell="B1" sqref="B1:B11"/>
    </sheetView>
  </sheetViews>
  <sheetFormatPr baseColWidth="10" defaultRowHeight="15"/>
  <cols>
    <col min="2" max="2" width="20.5" bestFit="1" customWidth="1"/>
    <col min="3" max="3" width="19.5" bestFit="1" customWidth="1"/>
    <col min="4" max="4" width="15.33203125" customWidth="1"/>
    <col min="6" max="6" width="28.83203125" bestFit="1" customWidth="1"/>
    <col min="7" max="7" width="21.83203125" bestFit="1" customWidth="1"/>
    <col min="8" max="8" width="22.1640625" bestFit="1" customWidth="1"/>
  </cols>
  <sheetData>
    <row r="1" spans="1:8">
      <c r="A1" t="s">
        <v>12</v>
      </c>
      <c r="B1" t="s">
        <v>25</v>
      </c>
      <c r="C1" t="s">
        <v>78</v>
      </c>
      <c r="D1" s="9" t="s">
        <v>25</v>
      </c>
      <c r="E1" s="9"/>
      <c r="F1" t="s">
        <v>56</v>
      </c>
      <c r="G1" t="s">
        <v>75</v>
      </c>
      <c r="H1" t="s">
        <v>82</v>
      </c>
    </row>
    <row r="2" spans="1:8">
      <c r="A2">
        <v>2015</v>
      </c>
      <c r="B2">
        <v>80</v>
      </c>
      <c r="D2" s="6"/>
      <c r="E2" s="6"/>
      <c r="F2">
        <f>(B2-E3)/E7</f>
        <v>0.10755521090731121</v>
      </c>
    </row>
    <row r="3" spans="1:8">
      <c r="A3">
        <v>2016</v>
      </c>
      <c r="B3">
        <v>94</v>
      </c>
      <c r="C3">
        <f>(B3-B2)/B2</f>
        <v>0.17499999999999999</v>
      </c>
      <c r="D3" s="6" t="s">
        <v>33</v>
      </c>
      <c r="E3" s="6">
        <v>79</v>
      </c>
      <c r="F3">
        <f>(B3-E3)/E7</f>
        <v>1.6133281636096681</v>
      </c>
    </row>
    <row r="4" spans="1:8">
      <c r="A4">
        <v>2017</v>
      </c>
      <c r="B4">
        <v>87</v>
      </c>
      <c r="C4">
        <f t="shared" ref="C4:C11" si="0">(B4-B3)/B3</f>
        <v>-7.4468085106382975E-2</v>
      </c>
      <c r="D4" s="6" t="s">
        <v>34</v>
      </c>
      <c r="E4" s="6">
        <v>2.940143609493326</v>
      </c>
      <c r="F4">
        <f>(B4-E3)/E7</f>
        <v>0.86044168725848968</v>
      </c>
      <c r="G4">
        <f>(B2+B3+B4)/3</f>
        <v>87</v>
      </c>
    </row>
    <row r="5" spans="1:8">
      <c r="A5">
        <v>2018</v>
      </c>
      <c r="B5">
        <v>89</v>
      </c>
      <c r="C5">
        <f t="shared" si="0"/>
        <v>2.2988505747126436E-2</v>
      </c>
      <c r="D5" s="6" t="s">
        <v>35</v>
      </c>
      <c r="E5" s="6">
        <v>78</v>
      </c>
      <c r="F5">
        <f>(B5-E3)/E7</f>
        <v>1.0755521090731122</v>
      </c>
      <c r="G5">
        <f t="shared" ref="G5:G11" si="1">(B3+B4+B5)/3</f>
        <v>90</v>
      </c>
    </row>
    <row r="6" spans="1:8">
      <c r="A6">
        <v>2019</v>
      </c>
      <c r="B6">
        <v>82</v>
      </c>
      <c r="C6">
        <f t="shared" si="0"/>
        <v>-7.8651685393258425E-2</v>
      </c>
      <c r="D6" s="6" t="s">
        <v>36</v>
      </c>
      <c r="E6" s="6">
        <v>76</v>
      </c>
      <c r="F6">
        <f>(B6-E3)/E7</f>
        <v>0.3226656327219336</v>
      </c>
      <c r="G6">
        <f t="shared" si="1"/>
        <v>86</v>
      </c>
      <c r="H6">
        <f>(B2+B3+B4+B5+B6)/5</f>
        <v>86.4</v>
      </c>
    </row>
    <row r="7" spans="1:8">
      <c r="A7">
        <v>2020</v>
      </c>
      <c r="B7">
        <v>76</v>
      </c>
      <c r="C7">
        <f t="shared" si="0"/>
        <v>-7.3170731707317069E-2</v>
      </c>
      <c r="D7" s="6" t="s">
        <v>37</v>
      </c>
      <c r="E7" s="6">
        <v>9.2975504539875686</v>
      </c>
      <c r="F7">
        <f>(B7-E3)/E7</f>
        <v>-0.3226656327219336</v>
      </c>
      <c r="G7">
        <f t="shared" si="1"/>
        <v>82.333333333333329</v>
      </c>
      <c r="H7">
        <f t="shared" ref="H7:H11" si="2">(B3+B4+B5+B6+B7)/5</f>
        <v>85.6</v>
      </c>
    </row>
    <row r="8" spans="1:8">
      <c r="A8">
        <v>2021</v>
      </c>
      <c r="B8">
        <v>69</v>
      </c>
      <c r="C8">
        <f t="shared" si="0"/>
        <v>-9.2105263157894732E-2</v>
      </c>
      <c r="D8" s="6" t="s">
        <v>38</v>
      </c>
      <c r="E8" s="6">
        <v>86.444444444444443</v>
      </c>
      <c r="F8">
        <f>(B8-E3)/E7</f>
        <v>-1.0755521090731122</v>
      </c>
      <c r="G8">
        <f t="shared" si="1"/>
        <v>75.666666666666671</v>
      </c>
      <c r="H8">
        <f t="shared" si="2"/>
        <v>80.599999999999994</v>
      </c>
    </row>
    <row r="9" spans="1:8">
      <c r="A9">
        <v>2022</v>
      </c>
      <c r="B9">
        <v>64</v>
      </c>
      <c r="C9">
        <f t="shared" si="0"/>
        <v>-7.2463768115942032E-2</v>
      </c>
      <c r="D9" s="6" t="s">
        <v>39</v>
      </c>
      <c r="E9" s="6">
        <v>-0.63331758315104913</v>
      </c>
      <c r="F9">
        <f>(B9-E3)/E7</f>
        <v>-1.6133281636096681</v>
      </c>
      <c r="G9">
        <f t="shared" si="1"/>
        <v>69.666666666666671</v>
      </c>
      <c r="H9">
        <f t="shared" si="2"/>
        <v>76</v>
      </c>
    </row>
    <row r="10" spans="1:8">
      <c r="A10">
        <v>2023</v>
      </c>
      <c r="B10">
        <v>76</v>
      </c>
      <c r="C10">
        <f t="shared" si="0"/>
        <v>0.1875</v>
      </c>
      <c r="D10" s="6" t="s">
        <v>40</v>
      </c>
      <c r="E10" s="6">
        <v>4.6657948176372185E-2</v>
      </c>
      <c r="F10">
        <f>(B10-E3)/E7</f>
        <v>-0.3226656327219336</v>
      </c>
      <c r="G10">
        <f t="shared" si="1"/>
        <v>69.666666666666671</v>
      </c>
      <c r="H10">
        <f t="shared" si="2"/>
        <v>73.400000000000006</v>
      </c>
    </row>
    <row r="11" spans="1:8">
      <c r="A11">
        <v>2024</v>
      </c>
      <c r="B11">
        <v>73</v>
      </c>
      <c r="C11">
        <f t="shared" si="0"/>
        <v>-3.9473684210526314E-2</v>
      </c>
      <c r="D11" s="6" t="s">
        <v>41</v>
      </c>
      <c r="E11" s="6">
        <v>30</v>
      </c>
      <c r="F11">
        <f>(B11-E3)/E7</f>
        <v>-0.64533126544386721</v>
      </c>
      <c r="G11">
        <f t="shared" si="1"/>
        <v>71</v>
      </c>
      <c r="H11">
        <f t="shared" si="2"/>
        <v>71.599999999999994</v>
      </c>
    </row>
    <row r="12" spans="1:8">
      <c r="D12" s="6" t="s">
        <v>42</v>
      </c>
      <c r="E12" s="6">
        <v>64</v>
      </c>
    </row>
    <row r="13" spans="1:8">
      <c r="D13" s="6" t="s">
        <v>43</v>
      </c>
      <c r="E13" s="6">
        <v>94</v>
      </c>
    </row>
    <row r="14" spans="1:8">
      <c r="D14" s="6" t="s">
        <v>44</v>
      </c>
      <c r="E14" s="6">
        <v>790</v>
      </c>
    </row>
    <row r="15" spans="1:8" ht="16" thickBot="1">
      <c r="D15" s="7" t="s">
        <v>45</v>
      </c>
      <c r="E15" s="7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DF6E-BD54-7143-A153-9DD7C5AD9763}">
  <dimension ref="A1:H15"/>
  <sheetViews>
    <sheetView workbookViewId="0">
      <selection activeCell="B1" sqref="B1:B11"/>
    </sheetView>
  </sheetViews>
  <sheetFormatPr baseColWidth="10" defaultRowHeight="15"/>
  <cols>
    <col min="2" max="2" width="23.33203125" bestFit="1" customWidth="1"/>
    <col min="3" max="3" width="16" bestFit="1" customWidth="1"/>
    <col min="4" max="4" width="15.83203125" customWidth="1"/>
    <col min="6" max="6" width="31.5" bestFit="1" customWidth="1"/>
    <col min="7" max="7" width="22.1640625" bestFit="1" customWidth="1"/>
    <col min="8" max="8" width="21.83203125" bestFit="1" customWidth="1"/>
  </cols>
  <sheetData>
    <row r="1" spans="1:8">
      <c r="A1" t="s">
        <v>12</v>
      </c>
      <c r="B1" t="s">
        <v>24</v>
      </c>
      <c r="C1" t="s">
        <v>79</v>
      </c>
      <c r="D1" s="9" t="s">
        <v>24</v>
      </c>
      <c r="E1" s="9"/>
      <c r="F1" t="s">
        <v>55</v>
      </c>
      <c r="G1" t="s">
        <v>80</v>
      </c>
      <c r="H1" t="s">
        <v>76</v>
      </c>
    </row>
    <row r="2" spans="1:8">
      <c r="A2">
        <v>2015</v>
      </c>
      <c r="B2">
        <v>1.5</v>
      </c>
      <c r="D2" s="6"/>
      <c r="E2" s="6"/>
      <c r="F2">
        <f>(B2-E3)/E7</f>
        <v>1.1133614657642681</v>
      </c>
    </row>
    <row r="3" spans="1:8">
      <c r="A3">
        <v>2016</v>
      </c>
      <c r="B3">
        <v>1.5</v>
      </c>
      <c r="C3">
        <f>(B3-B2)/B2</f>
        <v>0</v>
      </c>
      <c r="D3" s="6" t="s">
        <v>33</v>
      </c>
      <c r="E3" s="6">
        <v>1.085</v>
      </c>
      <c r="F3">
        <f>(B3-E3)/E7</f>
        <v>1.1133614657642681</v>
      </c>
    </row>
    <row r="4" spans="1:8">
      <c r="A4">
        <v>2017</v>
      </c>
      <c r="B4">
        <v>1.5</v>
      </c>
      <c r="C4">
        <f t="shared" ref="C4:C11" si="0">(B4-B3)/B3</f>
        <v>0</v>
      </c>
      <c r="D4" s="6" t="s">
        <v>34</v>
      </c>
      <c r="E4" s="6">
        <v>0.11787234149234874</v>
      </c>
      <c r="F4">
        <f>(B4-E3)/E7</f>
        <v>1.1133614657642681</v>
      </c>
      <c r="G4">
        <f>(B2+B3+B4)/3</f>
        <v>1.5</v>
      </c>
    </row>
    <row r="5" spans="1:8">
      <c r="A5">
        <v>2018</v>
      </c>
      <c r="B5">
        <v>1.44</v>
      </c>
      <c r="C5">
        <f t="shared" si="0"/>
        <v>-4.0000000000000036E-2</v>
      </c>
      <c r="D5" s="6" t="s">
        <v>35</v>
      </c>
      <c r="E5" s="6">
        <v>1.0250000000000001</v>
      </c>
      <c r="F5">
        <f>(B5-E3)/E7</f>
        <v>0.95239354300316903</v>
      </c>
      <c r="G5">
        <f t="shared" ref="G5:G11" si="1">(B3+B4+B5)/3</f>
        <v>1.4799999999999998</v>
      </c>
    </row>
    <row r="6" spans="1:8">
      <c r="A6">
        <v>2019</v>
      </c>
      <c r="B6">
        <v>1.1200000000000001</v>
      </c>
      <c r="C6">
        <f t="shared" si="0"/>
        <v>-0.22222222222222213</v>
      </c>
      <c r="D6" s="6" t="s">
        <v>36</v>
      </c>
      <c r="E6" s="6">
        <v>1.5</v>
      </c>
      <c r="F6">
        <f>(B6-E3)/E7</f>
        <v>9.3897954943974793E-2</v>
      </c>
      <c r="G6">
        <f t="shared" si="1"/>
        <v>1.3533333333333335</v>
      </c>
      <c r="H6">
        <f>(B2+B3+B4+B5+B6)/5</f>
        <v>1.4119999999999999</v>
      </c>
    </row>
    <row r="7" spans="1:8">
      <c r="A7">
        <v>2020</v>
      </c>
      <c r="B7">
        <v>0.93</v>
      </c>
      <c r="C7">
        <f t="shared" si="0"/>
        <v>-0.16964285714285718</v>
      </c>
      <c r="D7" s="6" t="s">
        <v>37</v>
      </c>
      <c r="E7" s="6">
        <v>0.37274507225299275</v>
      </c>
      <c r="F7">
        <f>(B7-E3)/E7</f>
        <v>-0.41583380046617219</v>
      </c>
      <c r="G7">
        <f t="shared" si="1"/>
        <v>1.1633333333333333</v>
      </c>
      <c r="H7">
        <f t="shared" ref="H7:H11" si="2">(B3+B4+B5+B6+B7)/5</f>
        <v>1.2979999999999998</v>
      </c>
    </row>
    <row r="8" spans="1:8">
      <c r="A8">
        <v>2021</v>
      </c>
      <c r="B8">
        <v>0.72</v>
      </c>
      <c r="C8">
        <f t="shared" si="0"/>
        <v>-0.2258064516129033</v>
      </c>
      <c r="D8" s="6" t="s">
        <v>38</v>
      </c>
      <c r="E8" s="6">
        <v>0.13893888888888878</v>
      </c>
      <c r="F8">
        <f>(B8-E3)/E7</f>
        <v>-0.97922153013001889</v>
      </c>
      <c r="G8">
        <f t="shared" si="1"/>
        <v>0.92333333333333345</v>
      </c>
      <c r="H8">
        <f t="shared" si="2"/>
        <v>1.1419999999999999</v>
      </c>
    </row>
    <row r="9" spans="1:8">
      <c r="A9">
        <v>2022</v>
      </c>
      <c r="B9">
        <v>0.56999999999999995</v>
      </c>
      <c r="C9">
        <f t="shared" si="0"/>
        <v>-0.20833333333333337</v>
      </c>
      <c r="D9" s="6" t="s">
        <v>39</v>
      </c>
      <c r="E9" s="6">
        <v>-1.9431321846542606</v>
      </c>
      <c r="F9">
        <f>(B9-E3)/E7</f>
        <v>-1.3816413370327665</v>
      </c>
      <c r="G9">
        <f t="shared" si="1"/>
        <v>0.73999999999999988</v>
      </c>
      <c r="H9">
        <f t="shared" si="2"/>
        <v>0.95600000000000007</v>
      </c>
    </row>
    <row r="10" spans="1:8">
      <c r="A10">
        <v>2023</v>
      </c>
      <c r="B10">
        <v>0.83</v>
      </c>
      <c r="C10">
        <f t="shared" si="0"/>
        <v>0.45614035087719301</v>
      </c>
      <c r="D10" s="6" t="s">
        <v>40</v>
      </c>
      <c r="E10" s="6">
        <v>3.3831326482987249E-2</v>
      </c>
      <c r="F10">
        <f>(B10-E3)/E7</f>
        <v>-0.68411367173467075</v>
      </c>
      <c r="G10">
        <f t="shared" si="1"/>
        <v>0.70666666666666667</v>
      </c>
      <c r="H10">
        <f t="shared" si="2"/>
        <v>0.83399999999999996</v>
      </c>
    </row>
    <row r="11" spans="1:8">
      <c r="A11">
        <v>2024</v>
      </c>
      <c r="B11">
        <v>0.74</v>
      </c>
      <c r="C11">
        <f t="shared" si="0"/>
        <v>-0.10843373493975901</v>
      </c>
      <c r="D11" s="6" t="s">
        <v>41</v>
      </c>
      <c r="E11" s="6">
        <v>0.93</v>
      </c>
      <c r="F11">
        <f>(B11-E3)/E7</f>
        <v>-0.92556555587631917</v>
      </c>
      <c r="G11">
        <f t="shared" si="1"/>
        <v>0.71333333333333326</v>
      </c>
      <c r="H11">
        <f t="shared" si="2"/>
        <v>0.75800000000000001</v>
      </c>
    </row>
    <row r="12" spans="1:8">
      <c r="D12" s="6" t="s">
        <v>42</v>
      </c>
      <c r="E12" s="6">
        <v>0.56999999999999995</v>
      </c>
    </row>
    <row r="13" spans="1:8">
      <c r="D13" s="6" t="s">
        <v>43</v>
      </c>
      <c r="E13" s="6">
        <v>1.5</v>
      </c>
    </row>
    <row r="14" spans="1:8">
      <c r="D14" s="6" t="s">
        <v>44</v>
      </c>
      <c r="E14" s="6">
        <v>10.85</v>
      </c>
    </row>
    <row r="15" spans="1:8" ht="16" thickBot="1">
      <c r="D15" s="7" t="s">
        <v>45</v>
      </c>
      <c r="E15" s="7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0301-7CCF-CA4A-8930-24D7DE020988}">
  <dimension ref="A1:K15"/>
  <sheetViews>
    <sheetView workbookViewId="0">
      <selection activeCell="B1" sqref="B1:B11"/>
    </sheetView>
  </sheetViews>
  <sheetFormatPr baseColWidth="10" defaultRowHeight="15"/>
  <cols>
    <col min="2" max="2" width="24.33203125" bestFit="1" customWidth="1"/>
    <col min="3" max="3" width="16" bestFit="1" customWidth="1"/>
    <col min="4" max="4" width="15.33203125" customWidth="1"/>
    <col min="6" max="6" width="32.6640625" bestFit="1" customWidth="1"/>
    <col min="7" max="7" width="21.83203125" bestFit="1" customWidth="1"/>
    <col min="8" max="8" width="21.5" bestFit="1" customWidth="1"/>
  </cols>
  <sheetData>
    <row r="1" spans="1:11">
      <c r="A1" t="s">
        <v>12</v>
      </c>
      <c r="B1" t="s">
        <v>23</v>
      </c>
      <c r="C1" t="s">
        <v>79</v>
      </c>
      <c r="D1" s="9" t="s">
        <v>23</v>
      </c>
      <c r="E1" s="9"/>
      <c r="F1" t="s">
        <v>54</v>
      </c>
      <c r="G1" t="s">
        <v>75</v>
      </c>
      <c r="H1" t="s">
        <v>83</v>
      </c>
    </row>
    <row r="2" spans="1:11">
      <c r="A2">
        <v>2015</v>
      </c>
      <c r="B2" s="3">
        <v>6795</v>
      </c>
      <c r="D2" s="6"/>
      <c r="E2" s="6"/>
      <c r="F2" s="3">
        <f>(B2-E3)/E7</f>
        <v>-1.2941375269074709</v>
      </c>
    </row>
    <row r="3" spans="1:11">
      <c r="A3">
        <v>2016</v>
      </c>
      <c r="B3" s="3">
        <v>7076</v>
      </c>
      <c r="C3">
        <f>(B3+B2)/B2</f>
        <v>2.041353936718175</v>
      </c>
      <c r="D3" s="6" t="s">
        <v>33</v>
      </c>
      <c r="E3" s="6">
        <v>7201</v>
      </c>
      <c r="F3">
        <f>(B3-E3)/E7</f>
        <v>-0.39844135680648735</v>
      </c>
    </row>
    <row r="4" spans="1:11">
      <c r="A4">
        <v>2017</v>
      </c>
      <c r="B4">
        <v>6916</v>
      </c>
      <c r="C4">
        <f t="shared" ref="C4:C11" si="0">(B4+B3)/B3</f>
        <v>1.9773883550028264</v>
      </c>
      <c r="D4" s="6" t="s">
        <v>34</v>
      </c>
      <c r="E4" s="6">
        <v>99.207750593276629</v>
      </c>
      <c r="F4">
        <f>(B4-E3)/E7</f>
        <v>-0.90844629351879114</v>
      </c>
      <c r="G4">
        <f>(B2+B3+B4)/3</f>
        <v>6929</v>
      </c>
    </row>
    <row r="5" spans="1:11">
      <c r="A5">
        <v>2018</v>
      </c>
      <c r="B5">
        <v>6916</v>
      </c>
      <c r="C5">
        <f t="shared" si="0"/>
        <v>2</v>
      </c>
      <c r="D5" s="6" t="s">
        <v>35</v>
      </c>
      <c r="E5" s="6">
        <v>7182.5</v>
      </c>
      <c r="F5">
        <f>(B5-E3)/E7</f>
        <v>-0.90844629351879114</v>
      </c>
      <c r="G5">
        <f t="shared" ref="G5:G11" si="1">(B3+B4+B5)/3</f>
        <v>6969.333333333333</v>
      </c>
    </row>
    <row r="6" spans="1:11">
      <c r="A6">
        <v>2019</v>
      </c>
      <c r="B6">
        <v>7201</v>
      </c>
      <c r="C6">
        <f t="shared" si="0"/>
        <v>2.0412087912087911</v>
      </c>
      <c r="D6" s="6" t="s">
        <v>36</v>
      </c>
      <c r="E6" s="6">
        <v>6916</v>
      </c>
      <c r="F6">
        <f>(B6-E3)/E7</f>
        <v>0</v>
      </c>
      <c r="G6">
        <f t="shared" si="1"/>
        <v>7011</v>
      </c>
      <c r="H6">
        <f>(B2+B3+B4+B5+B6)/5</f>
        <v>6980.8</v>
      </c>
    </row>
    <row r="7" spans="1:11">
      <c r="A7">
        <v>2020</v>
      </c>
      <c r="B7">
        <v>7440</v>
      </c>
      <c r="C7">
        <f t="shared" si="0"/>
        <v>2.0331898347451745</v>
      </c>
      <c r="D7" s="6" t="s">
        <v>37</v>
      </c>
      <c r="E7" s="6">
        <v>313.72245341667497</v>
      </c>
      <c r="F7">
        <f>(B7-E3)/E7</f>
        <v>0.76181987421400388</v>
      </c>
      <c r="G7">
        <f t="shared" si="1"/>
        <v>7185.666666666667</v>
      </c>
      <c r="H7">
        <f t="shared" ref="H7:H11" si="2">(B3+B4+B5+B6+B7)/5</f>
        <v>7109.8</v>
      </c>
    </row>
    <row r="8" spans="1:11">
      <c r="A8">
        <v>2021</v>
      </c>
      <c r="B8">
        <v>7164</v>
      </c>
      <c r="C8">
        <f t="shared" si="0"/>
        <v>1.9629032258064516</v>
      </c>
      <c r="D8" s="6" t="s">
        <v>38</v>
      </c>
      <c r="E8" s="6">
        <v>98421.777777777781</v>
      </c>
      <c r="F8">
        <f>(B8-E3)/E7</f>
        <v>-0.11793864161472026</v>
      </c>
      <c r="G8">
        <f t="shared" si="1"/>
        <v>7268.333333333333</v>
      </c>
      <c r="H8">
        <f t="shared" si="2"/>
        <v>7127.4</v>
      </c>
    </row>
    <row r="9" spans="1:11">
      <c r="A9">
        <v>2022</v>
      </c>
      <c r="B9">
        <v>7866</v>
      </c>
      <c r="C9">
        <f t="shared" si="0"/>
        <v>2.0979899497487438</v>
      </c>
      <c r="D9" s="6" t="s">
        <v>39</v>
      </c>
      <c r="E9" s="6">
        <v>1.093758115432534</v>
      </c>
      <c r="F9">
        <f>(B9-E3)/E7</f>
        <v>2.1197080182105128</v>
      </c>
      <c r="G9">
        <f t="shared" si="1"/>
        <v>7490</v>
      </c>
      <c r="H9">
        <f t="shared" si="2"/>
        <v>7317.4</v>
      </c>
    </row>
    <row r="10" spans="1:11">
      <c r="A10">
        <v>2023</v>
      </c>
      <c r="B10">
        <v>7232</v>
      </c>
      <c r="C10">
        <f t="shared" si="0"/>
        <v>1.919399949148233</v>
      </c>
      <c r="D10" s="6" t="s">
        <v>40</v>
      </c>
      <c r="E10" s="6">
        <v>0.90367752539107882</v>
      </c>
      <c r="F10">
        <f>(B10-E3)/E7</f>
        <v>9.8813456488008863E-2</v>
      </c>
      <c r="G10">
        <f t="shared" si="1"/>
        <v>7420.666666666667</v>
      </c>
      <c r="H10">
        <f t="shared" si="2"/>
        <v>7380.6</v>
      </c>
    </row>
    <row r="11" spans="1:11">
      <c r="A11">
        <v>2024</v>
      </c>
      <c r="B11">
        <v>7404</v>
      </c>
      <c r="C11">
        <f t="shared" si="0"/>
        <v>2.023783185840708</v>
      </c>
      <c r="D11" s="6" t="s">
        <v>41</v>
      </c>
      <c r="E11" s="6">
        <v>1071</v>
      </c>
      <c r="F11">
        <f>(B11-E3)/E7</f>
        <v>0.64706876345373543</v>
      </c>
      <c r="G11">
        <f t="shared" si="1"/>
        <v>7500.666666666667</v>
      </c>
      <c r="H11">
        <f t="shared" si="2"/>
        <v>7421.2</v>
      </c>
    </row>
    <row r="12" spans="1:11">
      <c r="D12" s="6" t="s">
        <v>42</v>
      </c>
      <c r="E12" s="6">
        <v>6795</v>
      </c>
    </row>
    <row r="13" spans="1:11">
      <c r="D13" s="6" t="s">
        <v>43</v>
      </c>
      <c r="E13" s="6">
        <v>7866</v>
      </c>
    </row>
    <row r="14" spans="1:11">
      <c r="D14" s="6" t="s">
        <v>44</v>
      </c>
      <c r="E14" s="6">
        <v>72010</v>
      </c>
    </row>
    <row r="15" spans="1:11" ht="16" thickBot="1">
      <c r="B15" s="3"/>
      <c r="C15" s="3"/>
      <c r="D15" s="7" t="s">
        <v>45</v>
      </c>
      <c r="E15" s="7">
        <v>10</v>
      </c>
      <c r="F15" s="3"/>
      <c r="G15" s="3"/>
      <c r="H15" s="3"/>
      <c r="I15" s="3"/>
      <c r="J15" s="3"/>
      <c r="K1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55A7-02C4-5A40-BEA6-073C8CB7E309}">
  <dimension ref="A1:H15"/>
  <sheetViews>
    <sheetView workbookViewId="0">
      <selection activeCell="B1" sqref="B1:B11"/>
    </sheetView>
  </sheetViews>
  <sheetFormatPr baseColWidth="10" defaultRowHeight="15"/>
  <cols>
    <col min="2" max="2" width="20.83203125" bestFit="1" customWidth="1"/>
    <col min="3" max="3" width="16" bestFit="1" customWidth="1"/>
    <col min="4" max="4" width="16.5" customWidth="1"/>
    <col min="5" max="5" width="11.83203125" customWidth="1"/>
    <col min="6" max="6" width="29.1640625" bestFit="1" customWidth="1"/>
    <col min="7" max="7" width="21.83203125" bestFit="1" customWidth="1"/>
    <col min="8" max="8" width="22.1640625" bestFit="1" customWidth="1"/>
  </cols>
  <sheetData>
    <row r="1" spans="1:8">
      <c r="A1" t="s">
        <v>12</v>
      </c>
      <c r="B1" t="s">
        <v>22</v>
      </c>
      <c r="C1" t="s">
        <v>79</v>
      </c>
      <c r="D1" s="9" t="s">
        <v>22</v>
      </c>
      <c r="E1" s="9"/>
      <c r="F1" t="s">
        <v>53</v>
      </c>
      <c r="G1" t="s">
        <v>75</v>
      </c>
      <c r="H1" t="s">
        <v>82</v>
      </c>
    </row>
    <row r="2" spans="1:8">
      <c r="A2">
        <v>2015</v>
      </c>
      <c r="B2">
        <v>72</v>
      </c>
      <c r="D2" s="6"/>
      <c r="E2" s="6"/>
      <c r="F2">
        <f>(B2-E3)/E7</f>
        <v>-1.3681932677163635</v>
      </c>
    </row>
    <row r="3" spans="1:8">
      <c r="A3">
        <v>2016</v>
      </c>
      <c r="B3">
        <v>84</v>
      </c>
      <c r="C3" s="13">
        <f>(B3-B2)/B2</f>
        <v>0.16666666666666666</v>
      </c>
      <c r="D3" s="6" t="s">
        <v>33</v>
      </c>
      <c r="E3" s="6">
        <v>78.900000000000006</v>
      </c>
      <c r="F3">
        <f>(B3-E3)/E7</f>
        <v>1.0112732848338319</v>
      </c>
    </row>
    <row r="4" spans="1:8">
      <c r="A4">
        <v>2017</v>
      </c>
      <c r="B4">
        <v>85</v>
      </c>
      <c r="C4" s="13">
        <f t="shared" ref="C4:C11" si="0">(B4-B3)/B3</f>
        <v>1.1904761904761904E-2</v>
      </c>
      <c r="D4" s="6" t="s">
        <v>34</v>
      </c>
      <c r="E4" s="6">
        <v>1.5947831618540911</v>
      </c>
      <c r="F4">
        <f>(B4-E3)/E7</f>
        <v>1.209562164213015</v>
      </c>
      <c r="G4">
        <f>(B2+B3+B4)/3</f>
        <v>80.333333333333329</v>
      </c>
    </row>
    <row r="5" spans="1:8">
      <c r="A5">
        <v>2018</v>
      </c>
      <c r="B5">
        <v>82</v>
      </c>
      <c r="C5" s="13">
        <f t="shared" si="0"/>
        <v>-3.5294117647058823E-2</v>
      </c>
      <c r="D5" s="6" t="s">
        <v>35</v>
      </c>
      <c r="E5" s="6">
        <v>81</v>
      </c>
      <c r="F5">
        <f>(B5-E3)/E7</f>
        <v>0.61469552607546607</v>
      </c>
      <c r="G5">
        <f t="shared" ref="G5:G11" si="1">(B3+B4+B5)/3</f>
        <v>83.666666666666671</v>
      </c>
    </row>
    <row r="6" spans="1:8">
      <c r="A6">
        <v>2019</v>
      </c>
      <c r="B6">
        <v>77</v>
      </c>
      <c r="C6" s="13">
        <f t="shared" si="0"/>
        <v>-6.097560975609756E-2</v>
      </c>
      <c r="D6" s="6" t="s">
        <v>36</v>
      </c>
      <c r="E6" s="6">
        <v>82</v>
      </c>
      <c r="F6">
        <f>(B6-E3)/E7</f>
        <v>-0.37674887082044878</v>
      </c>
      <c r="G6">
        <f t="shared" si="1"/>
        <v>81.333333333333329</v>
      </c>
      <c r="H6">
        <f>(B2+B3+B4+B5+B6)/5</f>
        <v>80</v>
      </c>
    </row>
    <row r="7" spans="1:8">
      <c r="A7">
        <v>2020</v>
      </c>
      <c r="B7">
        <v>81</v>
      </c>
      <c r="C7" s="13">
        <f t="shared" si="0"/>
        <v>5.1948051948051951E-2</v>
      </c>
      <c r="D7" s="6" t="s">
        <v>37</v>
      </c>
      <c r="E7" s="6">
        <v>5.0431471655438855</v>
      </c>
      <c r="F7">
        <f>(B7-E3)/E7</f>
        <v>0.41640664669628313</v>
      </c>
      <c r="G7">
        <f t="shared" si="1"/>
        <v>80</v>
      </c>
      <c r="H7">
        <f t="shared" ref="H7:H11" si="2">(B3+B4+B5+B6+B7)/5</f>
        <v>81.8</v>
      </c>
    </row>
    <row r="8" spans="1:8">
      <c r="A8">
        <v>2021</v>
      </c>
      <c r="B8">
        <v>82</v>
      </c>
      <c r="C8" s="13">
        <f t="shared" si="0"/>
        <v>1.2345679012345678E-2</v>
      </c>
      <c r="D8" s="6" t="s">
        <v>38</v>
      </c>
      <c r="E8" s="6">
        <v>25.43333333333333</v>
      </c>
      <c r="F8">
        <f>(B8-E3)/E7</f>
        <v>0.61469552607546607</v>
      </c>
      <c r="G8">
        <f t="shared" si="1"/>
        <v>80</v>
      </c>
      <c r="H8">
        <f t="shared" si="2"/>
        <v>81.400000000000006</v>
      </c>
    </row>
    <row r="9" spans="1:8">
      <c r="A9">
        <v>2022</v>
      </c>
      <c r="B9">
        <v>74</v>
      </c>
      <c r="C9" s="13">
        <f t="shared" si="0"/>
        <v>-9.7560975609756101E-2</v>
      </c>
      <c r="D9" s="6" t="s">
        <v>39</v>
      </c>
      <c r="E9" s="6">
        <v>-1.2904868321250795</v>
      </c>
      <c r="F9">
        <f>(B9-E3)/E7</f>
        <v>-0.97161550895799764</v>
      </c>
      <c r="G9">
        <f t="shared" si="1"/>
        <v>79</v>
      </c>
      <c r="H9">
        <f t="shared" si="2"/>
        <v>79.2</v>
      </c>
    </row>
    <row r="10" spans="1:8">
      <c r="A10">
        <v>2023</v>
      </c>
      <c r="B10">
        <v>71</v>
      </c>
      <c r="C10" s="13">
        <f t="shared" si="0"/>
        <v>-4.0540540540540543E-2</v>
      </c>
      <c r="D10" s="6" t="s">
        <v>40</v>
      </c>
      <c r="E10" s="6">
        <v>-0.55042705966594085</v>
      </c>
      <c r="F10">
        <f>(B10-E3)/E7</f>
        <v>-1.5664821470955466</v>
      </c>
      <c r="G10">
        <f t="shared" si="1"/>
        <v>75.666666666666671</v>
      </c>
      <c r="H10">
        <f t="shared" si="2"/>
        <v>77</v>
      </c>
    </row>
    <row r="11" spans="1:8">
      <c r="A11">
        <v>2024</v>
      </c>
      <c r="B11">
        <v>81</v>
      </c>
      <c r="C11" s="13">
        <f t="shared" si="0"/>
        <v>0.14084507042253522</v>
      </c>
      <c r="D11" s="6" t="s">
        <v>41</v>
      </c>
      <c r="E11" s="6">
        <v>14</v>
      </c>
      <c r="F11">
        <f>(B11-E3)/E7</f>
        <v>0.41640664669628313</v>
      </c>
      <c r="G11">
        <f t="shared" si="1"/>
        <v>75.333333333333329</v>
      </c>
      <c r="H11">
        <f t="shared" si="2"/>
        <v>77.8</v>
      </c>
    </row>
    <row r="12" spans="1:8">
      <c r="D12" s="6" t="s">
        <v>42</v>
      </c>
      <c r="E12" s="6">
        <v>71</v>
      </c>
    </row>
    <row r="13" spans="1:8">
      <c r="D13" s="6" t="s">
        <v>43</v>
      </c>
      <c r="E13" s="6">
        <v>85</v>
      </c>
    </row>
    <row r="14" spans="1:8">
      <c r="D14" s="6" t="s">
        <v>44</v>
      </c>
      <c r="E14" s="6">
        <v>789</v>
      </c>
    </row>
    <row r="15" spans="1:8" ht="16" thickBot="1">
      <c r="D15" s="7" t="s">
        <v>45</v>
      </c>
      <c r="E15" s="7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E9D4-A298-2144-931D-64F092179B22}">
  <dimension ref="A1:H15"/>
  <sheetViews>
    <sheetView workbookViewId="0">
      <selection activeCell="B1" sqref="B1:B11"/>
    </sheetView>
  </sheetViews>
  <sheetFormatPr baseColWidth="10" defaultRowHeight="15"/>
  <cols>
    <col min="2" max="2" width="23.6640625" bestFit="1" customWidth="1"/>
    <col min="3" max="3" width="16" bestFit="1" customWidth="1"/>
    <col min="4" max="4" width="16.83203125" customWidth="1"/>
    <col min="6" max="6" width="33" bestFit="1" customWidth="1"/>
    <col min="7" max="8" width="21.83203125" bestFit="1" customWidth="1"/>
  </cols>
  <sheetData>
    <row r="1" spans="1:8">
      <c r="A1" t="s">
        <v>12</v>
      </c>
      <c r="B1" t="s">
        <v>21</v>
      </c>
      <c r="C1" t="s">
        <v>79</v>
      </c>
      <c r="D1" s="9" t="s">
        <v>21</v>
      </c>
      <c r="E1" s="9"/>
      <c r="F1" s="21" t="s">
        <v>52</v>
      </c>
      <c r="G1" t="s">
        <v>75</v>
      </c>
      <c r="H1" t="s">
        <v>76</v>
      </c>
    </row>
    <row r="2" spans="1:8">
      <c r="A2">
        <v>2015</v>
      </c>
      <c r="B2">
        <v>1.1000000000000001</v>
      </c>
      <c r="D2" s="6"/>
      <c r="E2" s="6"/>
      <c r="F2" s="6">
        <f>(B2-E3)/E7</f>
        <v>0.94075337902379996</v>
      </c>
    </row>
    <row r="3" spans="1:8">
      <c r="A3">
        <v>2016</v>
      </c>
      <c r="B3">
        <v>1</v>
      </c>
      <c r="C3" s="13">
        <f>(B3-B2)/B2</f>
        <v>-9.0909090909090981E-2</v>
      </c>
      <c r="D3" s="6" t="s">
        <v>33</v>
      </c>
      <c r="E3" s="6">
        <v>0.94100000000000006</v>
      </c>
      <c r="F3" s="6">
        <f>(B3-E3)/E7</f>
        <v>0.34908458718493168</v>
      </c>
    </row>
    <row r="4" spans="1:8">
      <c r="A4">
        <v>2017</v>
      </c>
      <c r="B4">
        <v>1</v>
      </c>
      <c r="C4" s="13">
        <f t="shared" ref="C4:C11" si="0">(B4-B3)/B3</f>
        <v>0</v>
      </c>
      <c r="D4" s="6" t="s">
        <v>34</v>
      </c>
      <c r="E4" s="6">
        <v>5.3446754396834543E-2</v>
      </c>
      <c r="F4" s="6">
        <f>(B4-E3)/E7</f>
        <v>0.34908458718493168</v>
      </c>
      <c r="G4" s="16">
        <f>(B2+B3+B4)/3</f>
        <v>1.0333333333333334</v>
      </c>
    </row>
    <row r="5" spans="1:8">
      <c r="A5">
        <v>2018</v>
      </c>
      <c r="B5">
        <v>1.06</v>
      </c>
      <c r="C5" s="13">
        <f t="shared" si="0"/>
        <v>6.0000000000000053E-2</v>
      </c>
      <c r="D5" s="6" t="s">
        <v>35</v>
      </c>
      <c r="E5" s="6">
        <v>1</v>
      </c>
      <c r="F5" s="6">
        <f>(B5-E3)/E7</f>
        <v>0.70408586228825265</v>
      </c>
      <c r="G5" s="16">
        <f t="shared" ref="G5:G11" si="1">(B3+B4+B5)/3</f>
        <v>1.02</v>
      </c>
    </row>
    <row r="6" spans="1:8">
      <c r="A6">
        <v>2019</v>
      </c>
      <c r="B6">
        <v>1.05</v>
      </c>
      <c r="C6" s="13">
        <f t="shared" si="0"/>
        <v>-9.4339622641509517E-3</v>
      </c>
      <c r="D6" s="6" t="s">
        <v>36</v>
      </c>
      <c r="E6" s="6">
        <v>1</v>
      </c>
      <c r="F6" s="6">
        <f>(B6-E3)/E7</f>
        <v>0.6449189831043658</v>
      </c>
      <c r="G6" s="16">
        <f t="shared" si="1"/>
        <v>1.0366666666666668</v>
      </c>
      <c r="H6">
        <f>(B2+B3+B4+B5+B6)/5</f>
        <v>1.042</v>
      </c>
    </row>
    <row r="7" spans="1:8">
      <c r="A7">
        <v>2020</v>
      </c>
      <c r="B7">
        <v>1</v>
      </c>
      <c r="C7" s="13">
        <f t="shared" si="0"/>
        <v>-4.7619047619047658E-2</v>
      </c>
      <c r="D7" s="6" t="s">
        <v>37</v>
      </c>
      <c r="E7" s="6">
        <v>0.16901347743761599</v>
      </c>
      <c r="F7" s="6">
        <f>(B7-E3)/E7</f>
        <v>0.34908458718493168</v>
      </c>
      <c r="G7" s="16">
        <f t="shared" si="1"/>
        <v>1.0366666666666668</v>
      </c>
      <c r="H7">
        <f t="shared" ref="H7:H11" si="2">(B3+B4+B5+B6+B7)/5</f>
        <v>1.022</v>
      </c>
    </row>
    <row r="8" spans="1:8">
      <c r="A8">
        <v>2021</v>
      </c>
      <c r="B8">
        <v>0.96</v>
      </c>
      <c r="C8" s="13">
        <f t="shared" si="0"/>
        <v>-4.0000000000000036E-2</v>
      </c>
      <c r="D8" s="6" t="s">
        <v>38</v>
      </c>
      <c r="E8" s="6">
        <v>2.8565555555555535E-2</v>
      </c>
      <c r="F8" s="6">
        <f>(B8-E3)/E7</f>
        <v>0.11241707044938433</v>
      </c>
      <c r="G8" s="16">
        <f t="shared" si="1"/>
        <v>1.0033333333333332</v>
      </c>
      <c r="H8">
        <f t="shared" si="2"/>
        <v>1.014</v>
      </c>
    </row>
    <row r="9" spans="1:8">
      <c r="A9">
        <v>2022</v>
      </c>
      <c r="B9">
        <v>0.63</v>
      </c>
      <c r="C9" s="13">
        <f t="shared" si="0"/>
        <v>-0.34374999999999994</v>
      </c>
      <c r="D9" s="6" t="s">
        <v>39</v>
      </c>
      <c r="E9" s="6">
        <v>0.9377900685147571</v>
      </c>
      <c r="F9" s="6">
        <f>(B9-E3)/E7</f>
        <v>-1.8400899426188793</v>
      </c>
      <c r="G9" s="16">
        <f t="shared" si="1"/>
        <v>0.86333333333333329</v>
      </c>
      <c r="H9">
        <f t="shared" si="2"/>
        <v>0.94000000000000006</v>
      </c>
    </row>
    <row r="10" spans="1:8">
      <c r="A10">
        <v>2023</v>
      </c>
      <c r="B10">
        <v>0.63</v>
      </c>
      <c r="C10" s="13">
        <f t="shared" si="0"/>
        <v>0</v>
      </c>
      <c r="D10" s="6" t="s">
        <v>40</v>
      </c>
      <c r="E10" s="6">
        <v>-1.5096736806848683</v>
      </c>
      <c r="F10" s="6">
        <f>(B10-E3)/E7</f>
        <v>-1.8400899426188793</v>
      </c>
      <c r="G10" s="16">
        <f t="shared" si="1"/>
        <v>0.73999999999999988</v>
      </c>
      <c r="H10">
        <f t="shared" si="2"/>
        <v>0.85399999999999987</v>
      </c>
    </row>
    <row r="11" spans="1:8">
      <c r="A11">
        <v>2024</v>
      </c>
      <c r="B11">
        <v>0.98</v>
      </c>
      <c r="C11" s="13">
        <f t="shared" si="0"/>
        <v>0.55555555555555547</v>
      </c>
      <c r="D11" s="6" t="s">
        <v>41</v>
      </c>
      <c r="E11" s="6">
        <v>0.47000000000000008</v>
      </c>
      <c r="F11" s="6">
        <f>(B11-E3)/E7</f>
        <v>0.230750828817158</v>
      </c>
      <c r="G11" s="16">
        <f t="shared" si="1"/>
        <v>0.7466666666666667</v>
      </c>
      <c r="H11">
        <f t="shared" si="2"/>
        <v>0.83999999999999986</v>
      </c>
    </row>
    <row r="12" spans="1:8">
      <c r="D12" s="6" t="s">
        <v>42</v>
      </c>
      <c r="E12" s="6">
        <v>0.63</v>
      </c>
      <c r="F12" s="6"/>
    </row>
    <row r="13" spans="1:8">
      <c r="D13" s="6" t="s">
        <v>43</v>
      </c>
      <c r="E13" s="6">
        <v>1.1000000000000001</v>
      </c>
      <c r="F13" s="6"/>
    </row>
    <row r="14" spans="1:8">
      <c r="D14" s="6" t="s">
        <v>44</v>
      </c>
      <c r="E14" s="6">
        <v>9.41</v>
      </c>
      <c r="F14" s="6"/>
    </row>
    <row r="15" spans="1:8" ht="16" thickBot="1">
      <c r="D15" s="7" t="s">
        <v>45</v>
      </c>
      <c r="E15" s="7">
        <v>10</v>
      </c>
      <c r="F15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7B05-11E8-884F-9D9D-BB3A0BCF2917}">
  <dimension ref="A1:H15"/>
  <sheetViews>
    <sheetView workbookViewId="0">
      <selection activeCell="B1" sqref="B1:B11"/>
    </sheetView>
  </sheetViews>
  <sheetFormatPr baseColWidth="10" defaultRowHeight="15"/>
  <cols>
    <col min="2" max="2" width="23" bestFit="1" customWidth="1"/>
    <col min="3" max="3" width="16" bestFit="1" customWidth="1"/>
    <col min="4" max="4" width="20.5" customWidth="1"/>
    <col min="6" max="6" width="31.1640625" bestFit="1" customWidth="1"/>
    <col min="7" max="8" width="21.83203125" bestFit="1" customWidth="1"/>
  </cols>
  <sheetData>
    <row r="1" spans="1:8">
      <c r="A1" t="s">
        <v>12</v>
      </c>
      <c r="B1" t="s">
        <v>19</v>
      </c>
      <c r="C1" t="s">
        <v>79</v>
      </c>
      <c r="D1" s="9" t="s">
        <v>19</v>
      </c>
      <c r="E1" s="9"/>
      <c r="F1" t="s">
        <v>50</v>
      </c>
      <c r="G1" t="s">
        <v>75</v>
      </c>
      <c r="H1" t="s">
        <v>76</v>
      </c>
    </row>
    <row r="2" spans="1:8">
      <c r="A2">
        <v>2015</v>
      </c>
      <c r="B2">
        <v>91</v>
      </c>
      <c r="D2" s="6"/>
      <c r="E2" s="6"/>
      <c r="F2">
        <f>(B2-E3)/E7</f>
        <v>0.23968063858108607</v>
      </c>
    </row>
    <row r="3" spans="1:8">
      <c r="A3">
        <v>2016</v>
      </c>
      <c r="B3">
        <v>92</v>
      </c>
      <c r="C3">
        <f>(B3-B2)/B2</f>
        <v>1.098901098901099E-2</v>
      </c>
      <c r="D3" s="6" t="s">
        <v>33</v>
      </c>
      <c r="E3" s="6">
        <v>90.7</v>
      </c>
      <c r="F3">
        <f>(B3-E3)/E7</f>
        <v>1.0386161005180472</v>
      </c>
    </row>
    <row r="4" spans="1:8">
      <c r="A4">
        <v>2017</v>
      </c>
      <c r="B4">
        <v>91</v>
      </c>
      <c r="C4">
        <f t="shared" ref="C4:C11" si="0">(B4-B3)/B3</f>
        <v>-1.0869565217391304E-2</v>
      </c>
      <c r="D4" s="6" t="s">
        <v>34</v>
      </c>
      <c r="E4" s="6">
        <v>0.39581140290126388</v>
      </c>
      <c r="F4">
        <f>(B4-E3)/E7</f>
        <v>0.23968063858108607</v>
      </c>
      <c r="G4" s="18">
        <f>(B2+B3+B4)/3</f>
        <v>91.333333333333329</v>
      </c>
    </row>
    <row r="5" spans="1:8">
      <c r="A5">
        <v>2018</v>
      </c>
      <c r="B5">
        <v>91</v>
      </c>
      <c r="C5">
        <f t="shared" si="0"/>
        <v>0</v>
      </c>
      <c r="D5" s="6" t="s">
        <v>35</v>
      </c>
      <c r="E5" s="6">
        <v>91</v>
      </c>
      <c r="F5">
        <f>(B5-E3)/E7</f>
        <v>0.23968063858108607</v>
      </c>
      <c r="G5" s="18">
        <f t="shared" ref="G5:G11" si="1">(B3+B4+B5)/3</f>
        <v>91.333333333333329</v>
      </c>
    </row>
    <row r="6" spans="1:8">
      <c r="A6">
        <v>2019</v>
      </c>
      <c r="B6">
        <v>91</v>
      </c>
      <c r="C6">
        <f t="shared" si="0"/>
        <v>0</v>
      </c>
      <c r="D6" s="6" t="s">
        <v>36</v>
      </c>
      <c r="E6" s="6">
        <v>91</v>
      </c>
      <c r="F6">
        <f>(B6-E3)/E7</f>
        <v>0.23968063858108607</v>
      </c>
      <c r="G6" s="18">
        <f t="shared" si="1"/>
        <v>91</v>
      </c>
      <c r="H6">
        <f>(B2+B3+B4+B5+B6)/5</f>
        <v>91.2</v>
      </c>
    </row>
    <row r="7" spans="1:8">
      <c r="A7">
        <v>2020</v>
      </c>
      <c r="B7">
        <v>92</v>
      </c>
      <c r="C7">
        <f t="shared" si="0"/>
        <v>1.098901098901099E-2</v>
      </c>
      <c r="D7" s="6" t="s">
        <v>37</v>
      </c>
      <c r="E7" s="6">
        <v>1.2516655570345725</v>
      </c>
      <c r="F7">
        <f>(B7-E3)/E7</f>
        <v>1.0386161005180472</v>
      </c>
      <c r="G7" s="18">
        <f t="shared" si="1"/>
        <v>91.333333333333329</v>
      </c>
      <c r="H7">
        <f t="shared" ref="H7:H11" si="2">(B3+B4+B5+B6+B7)/5</f>
        <v>91.4</v>
      </c>
    </row>
    <row r="8" spans="1:8">
      <c r="A8">
        <v>2021</v>
      </c>
      <c r="B8">
        <v>91</v>
      </c>
      <c r="C8">
        <f t="shared" si="0"/>
        <v>-1.0869565217391304E-2</v>
      </c>
      <c r="D8" s="6" t="s">
        <v>38</v>
      </c>
      <c r="E8" s="6">
        <v>1.5666666666666667</v>
      </c>
      <c r="F8">
        <f>(B8-E3)/E7</f>
        <v>0.23968063858108607</v>
      </c>
      <c r="G8" s="18">
        <f t="shared" si="1"/>
        <v>91.333333333333329</v>
      </c>
      <c r="H8">
        <f t="shared" si="2"/>
        <v>91.2</v>
      </c>
    </row>
    <row r="9" spans="1:8">
      <c r="A9">
        <v>2022</v>
      </c>
      <c r="B9">
        <v>89</v>
      </c>
      <c r="C9">
        <f t="shared" si="0"/>
        <v>-2.197802197802198E-2</v>
      </c>
      <c r="D9" s="6" t="s">
        <v>39</v>
      </c>
      <c r="E9" s="6">
        <v>1.6413373860182565</v>
      </c>
      <c r="F9">
        <f>(B9-E3)/E7</f>
        <v>-1.3581902852928363</v>
      </c>
      <c r="G9" s="18">
        <f t="shared" si="1"/>
        <v>90.666666666666671</v>
      </c>
      <c r="H9">
        <f t="shared" si="2"/>
        <v>90.8</v>
      </c>
    </row>
    <row r="10" spans="1:8">
      <c r="A10">
        <v>2023</v>
      </c>
      <c r="B10">
        <v>88</v>
      </c>
      <c r="C10">
        <f t="shared" si="0"/>
        <v>-1.1235955056179775E-2</v>
      </c>
      <c r="D10" s="6" t="s">
        <v>40</v>
      </c>
      <c r="E10" s="6">
        <v>-1.4193853419518438</v>
      </c>
      <c r="F10">
        <f>(B10-E3)/E7</f>
        <v>-2.1571257472297973</v>
      </c>
      <c r="G10" s="18">
        <f t="shared" si="1"/>
        <v>89.333333333333329</v>
      </c>
      <c r="H10">
        <f t="shared" si="2"/>
        <v>90.2</v>
      </c>
    </row>
    <row r="11" spans="1:8">
      <c r="A11">
        <v>2024</v>
      </c>
      <c r="B11">
        <v>91</v>
      </c>
      <c r="C11">
        <f t="shared" si="0"/>
        <v>3.4090909090909088E-2</v>
      </c>
      <c r="D11" s="6" t="s">
        <v>41</v>
      </c>
      <c r="E11" s="6">
        <v>4</v>
      </c>
      <c r="F11">
        <f>(B11-E3)/E7</f>
        <v>0.23968063858108607</v>
      </c>
      <c r="G11" s="18">
        <f t="shared" si="1"/>
        <v>89.333333333333329</v>
      </c>
      <c r="H11">
        <f t="shared" si="2"/>
        <v>90.2</v>
      </c>
    </row>
    <row r="12" spans="1:8">
      <c r="D12" s="6" t="s">
        <v>42</v>
      </c>
      <c r="E12" s="6">
        <v>88</v>
      </c>
    </row>
    <row r="13" spans="1:8">
      <c r="D13" s="6" t="s">
        <v>43</v>
      </c>
      <c r="E13" s="6">
        <v>92</v>
      </c>
    </row>
    <row r="14" spans="1:8">
      <c r="D14" s="6" t="s">
        <v>44</v>
      </c>
      <c r="E14" s="6">
        <v>907</v>
      </c>
    </row>
    <row r="15" spans="1:8" ht="16" thickBot="1">
      <c r="D15" s="7" t="s">
        <v>45</v>
      </c>
      <c r="E15" s="7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CAB8-12AB-D14F-B7FE-3063E6BD964D}">
  <dimension ref="A1:L15"/>
  <sheetViews>
    <sheetView workbookViewId="0">
      <selection activeCell="B1" sqref="B1:B11"/>
    </sheetView>
  </sheetViews>
  <sheetFormatPr baseColWidth="10" defaultRowHeight="15"/>
  <cols>
    <col min="2" max="2" width="24.6640625" bestFit="1" customWidth="1"/>
    <col min="3" max="3" width="16" bestFit="1" customWidth="1"/>
    <col min="4" max="4" width="18.1640625" customWidth="1"/>
    <col min="6" max="6" width="33.6640625" bestFit="1" customWidth="1"/>
    <col min="7" max="8" width="21.83203125" bestFit="1" customWidth="1"/>
  </cols>
  <sheetData>
    <row r="1" spans="1:12">
      <c r="A1" t="s">
        <v>12</v>
      </c>
      <c r="B1" t="s">
        <v>20</v>
      </c>
      <c r="C1" t="s">
        <v>79</v>
      </c>
      <c r="D1" s="9" t="s">
        <v>20</v>
      </c>
      <c r="E1" s="9"/>
      <c r="F1" s="21" t="s">
        <v>51</v>
      </c>
      <c r="G1" t="s">
        <v>75</v>
      </c>
      <c r="H1" t="s">
        <v>76</v>
      </c>
    </row>
    <row r="2" spans="1:12">
      <c r="A2">
        <v>2015</v>
      </c>
      <c r="B2" s="3">
        <v>10949</v>
      </c>
      <c r="D2" s="6"/>
      <c r="E2" s="6"/>
      <c r="F2" s="6">
        <f>(B2-E3)/E7</f>
        <v>2.2257450993358989</v>
      </c>
    </row>
    <row r="3" spans="1:12">
      <c r="A3">
        <v>2016</v>
      </c>
      <c r="B3" s="3">
        <v>7953</v>
      </c>
      <c r="C3" s="13">
        <f>(B3-B2)/B2</f>
        <v>-0.27363229518677507</v>
      </c>
      <c r="D3" s="6" t="s">
        <v>33</v>
      </c>
      <c r="E3" s="6">
        <v>8409.9</v>
      </c>
      <c r="F3" s="6">
        <f>(B3-E3)/E7</f>
        <v>-0.40051314870882254</v>
      </c>
    </row>
    <row r="4" spans="1:12">
      <c r="A4">
        <v>2017</v>
      </c>
      <c r="B4">
        <v>7997</v>
      </c>
      <c r="C4" s="13">
        <f t="shared" ref="C4:C11" si="0">(B4-B3)/B3</f>
        <v>5.5325034578146614E-3</v>
      </c>
      <c r="D4" s="6" t="s">
        <v>34</v>
      </c>
      <c r="E4" s="6">
        <v>360.74837182969725</v>
      </c>
      <c r="F4" s="6">
        <f>(B4-E3)/E7</f>
        <v>-0.36194326789641673</v>
      </c>
      <c r="G4" s="18">
        <f>(B2+B3+B4)/3</f>
        <v>8966.3333333333339</v>
      </c>
    </row>
    <row r="5" spans="1:12">
      <c r="A5">
        <v>2018</v>
      </c>
      <c r="B5" s="3">
        <v>8186</v>
      </c>
      <c r="C5" s="13">
        <f t="shared" si="0"/>
        <v>2.3633862698511941E-2</v>
      </c>
      <c r="D5" s="6" t="s">
        <v>35</v>
      </c>
      <c r="E5" s="6">
        <v>7975</v>
      </c>
      <c r="F5" s="6">
        <f>(B5-E3)/E7</f>
        <v>-0.19626809804312823</v>
      </c>
      <c r="G5" s="18">
        <f t="shared" ref="G5:G11" si="1">(B3+B4+B5)/3</f>
        <v>8045.333333333333</v>
      </c>
    </row>
    <row r="6" spans="1:12">
      <c r="A6">
        <v>2019</v>
      </c>
      <c r="B6" s="3">
        <v>7699</v>
      </c>
      <c r="C6" s="13">
        <f t="shared" si="0"/>
        <v>-5.949181529440508E-2</v>
      </c>
      <c r="D6" s="6" t="s">
        <v>36</v>
      </c>
      <c r="E6" s="6" t="e">
        <v>#N/A</v>
      </c>
      <c r="F6" s="6">
        <f>(B6-E3)/E7</f>
        <v>-0.62316655158043777</v>
      </c>
      <c r="G6" s="18">
        <f t="shared" si="1"/>
        <v>7960.666666666667</v>
      </c>
      <c r="H6">
        <f>(B2+B3+B4+B5+B6)/5</f>
        <v>8556.7999999999993</v>
      </c>
    </row>
    <row r="7" spans="1:12">
      <c r="A7">
        <v>2020</v>
      </c>
      <c r="B7" s="3">
        <v>8167</v>
      </c>
      <c r="C7" s="13">
        <f t="shared" si="0"/>
        <v>6.0787115209767505E-2</v>
      </c>
      <c r="D7" s="6" t="s">
        <v>37</v>
      </c>
      <c r="E7" s="6">
        <v>1140.7865171791675</v>
      </c>
      <c r="F7" s="6">
        <f>(B7-E3)/E7</f>
        <v>-0.21292327384848528</v>
      </c>
      <c r="G7" s="18">
        <f t="shared" si="1"/>
        <v>8017.333333333333</v>
      </c>
      <c r="H7">
        <f t="shared" ref="H7:H11" si="2">(B3+B4+B5+B6+B7)/5</f>
        <v>8000.4</v>
      </c>
    </row>
    <row r="8" spans="1:12">
      <c r="A8">
        <v>2021</v>
      </c>
      <c r="B8" s="3">
        <v>7601</v>
      </c>
      <c r="C8" s="13">
        <f t="shared" si="0"/>
        <v>-6.9303293743112532E-2</v>
      </c>
      <c r="D8" s="6" t="s">
        <v>38</v>
      </c>
      <c r="E8" s="6">
        <v>1301393.8777777751</v>
      </c>
      <c r="F8" s="6">
        <f>(B8-E3)/E7</f>
        <v>-0.70907219520806886</v>
      </c>
      <c r="G8" s="18">
        <f t="shared" si="1"/>
        <v>7822.333333333333</v>
      </c>
      <c r="H8">
        <f t="shared" si="2"/>
        <v>7930</v>
      </c>
    </row>
    <row r="9" spans="1:12">
      <c r="A9">
        <v>2022</v>
      </c>
      <c r="B9" s="3">
        <v>7713</v>
      </c>
      <c r="C9" s="13">
        <f t="shared" si="0"/>
        <v>1.4734903302197079E-2</v>
      </c>
      <c r="D9" s="6" t="s">
        <v>39</v>
      </c>
      <c r="E9" s="6">
        <v>2.1245424295852375</v>
      </c>
      <c r="F9" s="6">
        <f>(B9-E3)/E7</f>
        <v>-0.61089431677649042</v>
      </c>
      <c r="G9" s="18">
        <f t="shared" si="1"/>
        <v>7827</v>
      </c>
      <c r="H9">
        <f t="shared" si="2"/>
        <v>7873.2</v>
      </c>
    </row>
    <row r="10" spans="1:12">
      <c r="A10">
        <v>2023</v>
      </c>
      <c r="B10" s="3">
        <v>7773</v>
      </c>
      <c r="C10" s="13">
        <f t="shared" si="0"/>
        <v>7.7790742901594706E-3</v>
      </c>
      <c r="D10" s="6" t="s">
        <v>40</v>
      </c>
      <c r="E10" s="6">
        <v>1.7956486280876811</v>
      </c>
      <c r="F10" s="6">
        <f>(B10-E3)/E7</f>
        <v>-0.55829902475957349</v>
      </c>
      <c r="G10" s="18">
        <f t="shared" si="1"/>
        <v>7695.666666666667</v>
      </c>
      <c r="H10">
        <f t="shared" si="2"/>
        <v>7790.6</v>
      </c>
    </row>
    <row r="11" spans="1:12">
      <c r="A11">
        <v>2024</v>
      </c>
      <c r="B11" s="3">
        <v>10061</v>
      </c>
      <c r="C11" s="13">
        <f t="shared" si="0"/>
        <v>0.29435224495046958</v>
      </c>
      <c r="D11" s="6" t="s">
        <v>41</v>
      </c>
      <c r="E11" s="6">
        <v>3348</v>
      </c>
      <c r="F11" s="6">
        <f>(B11-E3)/E7</f>
        <v>1.4473347774855276</v>
      </c>
      <c r="G11" s="18">
        <f t="shared" si="1"/>
        <v>8515.6666666666661</v>
      </c>
      <c r="H11">
        <f t="shared" si="2"/>
        <v>8263</v>
      </c>
    </row>
    <row r="12" spans="1:12">
      <c r="D12" s="6" t="s">
        <v>42</v>
      </c>
      <c r="E12" s="6">
        <v>7601</v>
      </c>
      <c r="F12" s="6"/>
    </row>
    <row r="13" spans="1:12">
      <c r="D13" s="6" t="s">
        <v>43</v>
      </c>
      <c r="E13" s="6">
        <v>10949</v>
      </c>
      <c r="F13" s="6"/>
    </row>
    <row r="14" spans="1:12">
      <c r="D14" s="6" t="s">
        <v>44</v>
      </c>
      <c r="E14" s="6">
        <v>84099</v>
      </c>
      <c r="F14" s="6"/>
    </row>
    <row r="15" spans="1:12" ht="16" thickBot="1">
      <c r="B15" s="3"/>
      <c r="C15" s="3"/>
      <c r="D15" s="7" t="s">
        <v>45</v>
      </c>
      <c r="E15" s="7">
        <v>10</v>
      </c>
      <c r="F15" s="6"/>
      <c r="G15" s="3"/>
      <c r="H15" s="3"/>
      <c r="I15" s="3"/>
      <c r="J15" s="3"/>
      <c r="K15" s="3"/>
      <c r="L1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9793-3ABB-594C-A6C3-5D60D4AD4FD3}">
  <dimension ref="A1:H15"/>
  <sheetViews>
    <sheetView workbookViewId="0">
      <selection activeCell="B1" sqref="B1:B11"/>
    </sheetView>
  </sheetViews>
  <sheetFormatPr baseColWidth="10" defaultRowHeight="15"/>
  <cols>
    <col min="2" max="2" width="25.6640625" bestFit="1" customWidth="1"/>
    <col min="3" max="3" width="16" bestFit="1" customWidth="1"/>
    <col min="4" max="4" width="17.33203125" customWidth="1"/>
    <col min="6" max="6" width="34" bestFit="1" customWidth="1"/>
    <col min="7" max="8" width="19.1640625" bestFit="1" customWidth="1"/>
  </cols>
  <sheetData>
    <row r="1" spans="1:8">
      <c r="A1" t="s">
        <v>12</v>
      </c>
      <c r="B1" t="s">
        <v>18</v>
      </c>
      <c r="C1" t="s">
        <v>79</v>
      </c>
      <c r="D1" s="9" t="s">
        <v>18</v>
      </c>
      <c r="E1" s="9"/>
      <c r="F1" t="s">
        <v>49</v>
      </c>
      <c r="G1" t="s">
        <v>72</v>
      </c>
      <c r="H1" t="s">
        <v>71</v>
      </c>
    </row>
    <row r="2" spans="1:8">
      <c r="A2">
        <v>2015</v>
      </c>
      <c r="B2">
        <v>0.8</v>
      </c>
      <c r="D2" s="6"/>
      <c r="E2" s="6"/>
      <c r="F2">
        <f>(B2-E3)/E7</f>
        <v>0.33028912953790779</v>
      </c>
    </row>
    <row r="3" spans="1:8">
      <c r="A3">
        <v>2016</v>
      </c>
      <c r="B3">
        <v>0.8</v>
      </c>
      <c r="C3" s="13">
        <f>(B3-B2)/B2</f>
        <v>0</v>
      </c>
      <c r="D3" s="6" t="s">
        <v>33</v>
      </c>
      <c r="E3" s="6">
        <v>0.76</v>
      </c>
      <c r="F3">
        <f>(B3-E3)/E7</f>
        <v>0.33028912953790779</v>
      </c>
    </row>
    <row r="4" spans="1:8">
      <c r="A4">
        <v>2017</v>
      </c>
      <c r="B4">
        <v>0.8</v>
      </c>
      <c r="C4" s="13">
        <f t="shared" ref="C4:C11" si="0">(B4-B3)/B3</f>
        <v>0</v>
      </c>
      <c r="D4" s="6" t="s">
        <v>34</v>
      </c>
      <c r="E4" s="6">
        <v>3.8297084310253603E-2</v>
      </c>
      <c r="F4">
        <f>(B4-E3)/E7</f>
        <v>0.33028912953790779</v>
      </c>
      <c r="G4">
        <f>(B2+B3+B4)/3</f>
        <v>0.80000000000000016</v>
      </c>
    </row>
    <row r="5" spans="1:8">
      <c r="A5">
        <v>2018</v>
      </c>
      <c r="B5">
        <v>0.78</v>
      </c>
      <c r="C5" s="13">
        <f t="shared" si="0"/>
        <v>-2.5000000000000022E-2</v>
      </c>
      <c r="D5" s="6" t="s">
        <v>35</v>
      </c>
      <c r="E5" s="6">
        <v>0.8</v>
      </c>
      <c r="F5">
        <f>(B5-E3)/E7</f>
        <v>0.16514456476895389</v>
      </c>
      <c r="G5">
        <f t="shared" ref="G5:G11" si="1">(B3+B4+B5)/3</f>
        <v>0.79333333333333333</v>
      </c>
    </row>
    <row r="6" spans="1:8">
      <c r="A6">
        <v>2019</v>
      </c>
      <c r="B6">
        <v>0.89</v>
      </c>
      <c r="C6" s="13">
        <f t="shared" si="0"/>
        <v>0.141025641025641</v>
      </c>
      <c r="D6" s="6" t="s">
        <v>36</v>
      </c>
      <c r="E6" s="6">
        <v>0.8</v>
      </c>
      <c r="F6">
        <f>(B6-E3)/E7</f>
        <v>1.0734396709981995</v>
      </c>
      <c r="G6">
        <f t="shared" si="1"/>
        <v>0.82333333333333336</v>
      </c>
      <c r="H6">
        <f>(B2+B3+B4+B5+B6)/5</f>
        <v>0.81400000000000006</v>
      </c>
    </row>
    <row r="7" spans="1:8">
      <c r="A7">
        <v>2020</v>
      </c>
      <c r="B7">
        <v>0.83</v>
      </c>
      <c r="C7" s="13">
        <f t="shared" si="0"/>
        <v>-6.7415730337078705E-2</v>
      </c>
      <c r="D7" s="6" t="s">
        <v>37</v>
      </c>
      <c r="E7" s="6">
        <v>0.12110601416389992</v>
      </c>
      <c r="F7">
        <f>(B7-E3)/E7</f>
        <v>0.57800597669133769</v>
      </c>
      <c r="G7">
        <f t="shared" si="1"/>
        <v>0.83333333333333337</v>
      </c>
      <c r="H7">
        <f t="shared" ref="H7:H11" si="2">(B3+B4+B5+B6+B7)/5</f>
        <v>0.82</v>
      </c>
    </row>
    <row r="8" spans="1:8">
      <c r="A8">
        <v>2021</v>
      </c>
      <c r="B8">
        <v>0.88</v>
      </c>
      <c r="C8" s="13">
        <f t="shared" si="0"/>
        <v>6.0240963855421742E-2</v>
      </c>
      <c r="D8" s="6" t="s">
        <v>38</v>
      </c>
      <c r="E8" s="6">
        <v>1.4666666666666729E-2</v>
      </c>
      <c r="F8">
        <f>(B8-E3)/E7</f>
        <v>0.99086738861372248</v>
      </c>
      <c r="G8">
        <f t="shared" si="1"/>
        <v>0.8666666666666667</v>
      </c>
      <c r="H8">
        <f t="shared" si="2"/>
        <v>0.83600000000000008</v>
      </c>
    </row>
    <row r="9" spans="1:8">
      <c r="A9">
        <v>2022</v>
      </c>
      <c r="B9">
        <v>0.71</v>
      </c>
      <c r="C9" s="13">
        <f t="shared" si="0"/>
        <v>-0.19318181818181823</v>
      </c>
      <c r="D9" s="6" t="s">
        <v>39</v>
      </c>
      <c r="E9" s="6">
        <v>0.82780032467532383</v>
      </c>
      <c r="F9">
        <f>(B9-E3)/E7</f>
        <v>-0.41286141192238474</v>
      </c>
      <c r="G9">
        <f t="shared" si="1"/>
        <v>0.80666666666666664</v>
      </c>
      <c r="H9">
        <f t="shared" si="2"/>
        <v>0.81799999999999995</v>
      </c>
    </row>
    <row r="10" spans="1:8">
      <c r="A10">
        <v>2023</v>
      </c>
      <c r="B10">
        <v>0.51</v>
      </c>
      <c r="C10" s="13">
        <f t="shared" si="0"/>
        <v>-0.28169014084507038</v>
      </c>
      <c r="D10" s="6" t="s">
        <v>40</v>
      </c>
      <c r="E10" s="6">
        <v>-1.2024588622239469</v>
      </c>
      <c r="F10">
        <f>(B10-E3)/E7</f>
        <v>-2.064307059611922</v>
      </c>
      <c r="G10">
        <f t="shared" si="1"/>
        <v>0.69999999999999984</v>
      </c>
      <c r="H10">
        <f t="shared" si="2"/>
        <v>0.76400000000000001</v>
      </c>
    </row>
    <row r="11" spans="1:8">
      <c r="A11">
        <v>2024</v>
      </c>
      <c r="B11">
        <v>0.6</v>
      </c>
      <c r="C11" s="13">
        <f t="shared" si="0"/>
        <v>0.17647058823529405</v>
      </c>
      <c r="D11" s="6" t="s">
        <v>41</v>
      </c>
      <c r="E11" s="6">
        <v>0.38</v>
      </c>
      <c r="F11">
        <f>(B11-E3)/E7</f>
        <v>-1.3211565181516303</v>
      </c>
      <c r="G11">
        <f t="shared" si="1"/>
        <v>0.60666666666666658</v>
      </c>
      <c r="H11">
        <f t="shared" si="2"/>
        <v>0.70599999999999996</v>
      </c>
    </row>
    <row r="12" spans="1:8">
      <c r="D12" s="6" t="s">
        <v>42</v>
      </c>
      <c r="E12" s="6">
        <v>0.51</v>
      </c>
    </row>
    <row r="13" spans="1:8">
      <c r="D13" s="6" t="s">
        <v>43</v>
      </c>
      <c r="E13" s="6">
        <v>0.89</v>
      </c>
    </row>
    <row r="14" spans="1:8">
      <c r="D14" s="6" t="s">
        <v>44</v>
      </c>
      <c r="E14" s="6">
        <v>7.6</v>
      </c>
    </row>
    <row r="15" spans="1:8" ht="16" thickBot="1">
      <c r="D15" s="7" t="s">
        <v>45</v>
      </c>
      <c r="E15" s="7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21E0-4321-2F4C-BF4F-ADB069099984}">
  <dimension ref="A1:K15"/>
  <sheetViews>
    <sheetView workbookViewId="0">
      <selection activeCell="B1" sqref="B1:B11"/>
    </sheetView>
  </sheetViews>
  <sheetFormatPr baseColWidth="10" defaultRowHeight="15"/>
  <cols>
    <col min="2" max="2" width="26.83203125" bestFit="1" customWidth="1"/>
    <col min="3" max="3" width="16" bestFit="1" customWidth="1"/>
    <col min="4" max="4" width="21" customWidth="1"/>
    <col min="5" max="5" width="15.33203125" customWidth="1"/>
    <col min="6" max="6" width="35.1640625" bestFit="1" customWidth="1"/>
    <col min="7" max="7" width="22.1640625" bestFit="1" customWidth="1"/>
    <col min="8" max="8" width="22.33203125" bestFit="1" customWidth="1"/>
  </cols>
  <sheetData>
    <row r="1" spans="1:11">
      <c r="A1" t="s">
        <v>12</v>
      </c>
      <c r="B1" t="s">
        <v>17</v>
      </c>
      <c r="C1" t="s">
        <v>79</v>
      </c>
      <c r="D1" s="9" t="s">
        <v>17</v>
      </c>
      <c r="E1" s="9"/>
      <c r="F1" t="s">
        <v>48</v>
      </c>
      <c r="G1" t="s">
        <v>80</v>
      </c>
      <c r="H1" t="s">
        <v>81</v>
      </c>
    </row>
    <row r="2" spans="1:11">
      <c r="A2">
        <v>2015</v>
      </c>
      <c r="B2" s="3">
        <v>8296</v>
      </c>
      <c r="D2" s="6"/>
      <c r="E2" s="6"/>
      <c r="F2">
        <f>(B2-E3)/E7</f>
        <v>-2.1398609363648151</v>
      </c>
    </row>
    <row r="3" spans="1:11">
      <c r="A3">
        <v>2016</v>
      </c>
      <c r="B3" s="3">
        <v>11988</v>
      </c>
      <c r="C3" s="13">
        <f>(B3-B2)/B2</f>
        <v>0.44503375120540017</v>
      </c>
      <c r="D3" s="6" t="s">
        <v>33</v>
      </c>
      <c r="E3" s="6">
        <v>12111.1</v>
      </c>
      <c r="F3">
        <f>(B3-E3)/E7</f>
        <v>-6.9045865446910826E-2</v>
      </c>
    </row>
    <row r="4" spans="1:11">
      <c r="A4">
        <v>2017</v>
      </c>
      <c r="B4" s="3">
        <v>12970</v>
      </c>
      <c r="C4" s="13">
        <f t="shared" ref="C4:C11" si="0">(B4-B3)/B3</f>
        <v>8.1915248581915248E-2</v>
      </c>
      <c r="D4" s="6" t="s">
        <v>34</v>
      </c>
      <c r="E4" s="6">
        <v>563.7939034395074</v>
      </c>
      <c r="F4" s="3">
        <f>(B4-E3)/E7</f>
        <v>0.48175055915801385</v>
      </c>
      <c r="G4">
        <f>(B2+B3+B4)/3</f>
        <v>11084.666666666666</v>
      </c>
    </row>
    <row r="5" spans="1:11">
      <c r="A5">
        <v>2018</v>
      </c>
      <c r="B5" s="3">
        <v>12978</v>
      </c>
      <c r="C5" s="13">
        <f t="shared" si="0"/>
        <v>6.1680801850424051E-4</v>
      </c>
      <c r="D5" s="6" t="s">
        <v>35</v>
      </c>
      <c r="E5" s="6">
        <v>12939</v>
      </c>
      <c r="F5">
        <f>(B5-E3)/E7</f>
        <v>0.48623769907332892</v>
      </c>
      <c r="G5">
        <f t="shared" ref="G5:G11" si="1">(B3+B4+B5)/3</f>
        <v>12645.333333333334</v>
      </c>
    </row>
    <row r="6" spans="1:11">
      <c r="A6">
        <v>2019</v>
      </c>
      <c r="B6" s="3">
        <v>12908</v>
      </c>
      <c r="C6" s="13">
        <f t="shared" si="0"/>
        <v>-5.3937432578209281E-3</v>
      </c>
      <c r="D6" s="6" t="s">
        <v>36</v>
      </c>
      <c r="E6" s="6" t="e">
        <v>#N/A</v>
      </c>
      <c r="F6">
        <f>(B6-E3)/E7</f>
        <v>0.44697522481432206</v>
      </c>
      <c r="G6">
        <f t="shared" si="1"/>
        <v>12952</v>
      </c>
      <c r="H6">
        <f>(B2+B3+B4+B5+B6)/5</f>
        <v>11828</v>
      </c>
    </row>
    <row r="7" spans="1:11">
      <c r="A7">
        <v>2020</v>
      </c>
      <c r="B7" s="3">
        <v>13527</v>
      </c>
      <c r="C7" s="13">
        <f t="shared" si="0"/>
        <v>4.7954756740006196E-2</v>
      </c>
      <c r="D7" s="6" t="s">
        <v>37</v>
      </c>
      <c r="E7" s="6">
        <v>1782.8728657858828</v>
      </c>
      <c r="F7">
        <f>(B7-E3)/E7</f>
        <v>0.79416767576182545</v>
      </c>
      <c r="G7">
        <f t="shared" si="1"/>
        <v>13137.666666666666</v>
      </c>
      <c r="H7">
        <f t="shared" ref="H7:H11" si="2">(B3+B4+B5+B6+B7)/5</f>
        <v>12874.2</v>
      </c>
    </row>
    <row r="8" spans="1:11">
      <c r="A8">
        <v>2021</v>
      </c>
      <c r="B8" s="3">
        <v>13386</v>
      </c>
      <c r="C8" s="13">
        <f t="shared" si="0"/>
        <v>-1.0423597249944556E-2</v>
      </c>
      <c r="D8" s="6" t="s">
        <v>38</v>
      </c>
      <c r="E8" s="6">
        <v>3178635.6555555663</v>
      </c>
      <c r="F8">
        <f>(B8-E3)/E7</f>
        <v>0.71508183475439746</v>
      </c>
      <c r="G8">
        <f t="shared" si="1"/>
        <v>13273.666666666666</v>
      </c>
      <c r="H8">
        <f t="shared" si="2"/>
        <v>13153.8</v>
      </c>
    </row>
    <row r="9" spans="1:11">
      <c r="A9">
        <v>2022</v>
      </c>
      <c r="B9" s="3">
        <v>13160</v>
      </c>
      <c r="C9" s="13">
        <f t="shared" si="0"/>
        <v>-1.6883310921858657E-2</v>
      </c>
      <c r="D9" s="6" t="s">
        <v>39</v>
      </c>
      <c r="E9" s="6">
        <v>1.5198723646805963</v>
      </c>
      <c r="F9">
        <f>(B9-E3)/E7</f>
        <v>0.58832013214674672</v>
      </c>
      <c r="G9">
        <f t="shared" si="1"/>
        <v>13357.666666666666</v>
      </c>
      <c r="H9">
        <f t="shared" si="2"/>
        <v>13191.8</v>
      </c>
    </row>
    <row r="10" spans="1:11">
      <c r="A10">
        <v>2023</v>
      </c>
      <c r="B10" s="3">
        <v>12446</v>
      </c>
      <c r="C10" s="13">
        <f t="shared" si="0"/>
        <v>-5.4255319148936172E-2</v>
      </c>
      <c r="D10" s="6" t="s">
        <v>40</v>
      </c>
      <c r="E10" s="6">
        <v>-1.6282844939850933</v>
      </c>
      <c r="F10">
        <f>(B10-E3)/E7</f>
        <v>0.18784289470487686</v>
      </c>
      <c r="G10">
        <f t="shared" si="1"/>
        <v>12997.333333333334</v>
      </c>
      <c r="H10">
        <f t="shared" si="2"/>
        <v>13085.4</v>
      </c>
    </row>
    <row r="11" spans="1:11">
      <c r="A11">
        <v>2024</v>
      </c>
      <c r="B11" s="3">
        <v>9452</v>
      </c>
      <c r="C11" s="13">
        <f t="shared" si="0"/>
        <v>-0.24055921581230919</v>
      </c>
      <c r="D11" s="6" t="s">
        <v>41</v>
      </c>
      <c r="E11" s="6">
        <v>5231</v>
      </c>
      <c r="F11">
        <f>(B11-E3)/E7</f>
        <v>-1.4914692186017875</v>
      </c>
      <c r="G11">
        <f t="shared" si="1"/>
        <v>11686</v>
      </c>
      <c r="H11">
        <f t="shared" si="2"/>
        <v>12394.2</v>
      </c>
    </row>
    <row r="12" spans="1:11">
      <c r="D12" s="6" t="s">
        <v>42</v>
      </c>
      <c r="E12" s="6">
        <v>8296</v>
      </c>
    </row>
    <row r="13" spans="1:11">
      <c r="D13" s="6" t="s">
        <v>43</v>
      </c>
      <c r="E13" s="6">
        <v>13527</v>
      </c>
    </row>
    <row r="14" spans="1:11">
      <c r="B14" s="3"/>
      <c r="C14" s="3"/>
      <c r="D14" s="6" t="s">
        <v>44</v>
      </c>
      <c r="E14" s="6">
        <v>121111</v>
      </c>
      <c r="F14" s="3"/>
      <c r="G14" s="3"/>
      <c r="H14" s="3"/>
      <c r="I14" s="3"/>
      <c r="J14" s="3"/>
      <c r="K14" s="3"/>
    </row>
    <row r="15" spans="1:11" ht="16" thickBot="1">
      <c r="D15" s="7" t="s">
        <v>45</v>
      </c>
      <c r="E15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Sentinel</vt:lpstr>
      <vt:lpstr>Kansanshi</vt:lpstr>
      <vt:lpstr>Total predictions and analysis</vt:lpstr>
      <vt:lpstr>General analysis </vt:lpstr>
      <vt:lpstr>Sentinel Predictions</vt:lpstr>
      <vt:lpstr>Kansanshi predictions</vt:lpstr>
      <vt:lpstr>Sentinel regression stats</vt:lpstr>
      <vt:lpstr>Sentinel regression data</vt:lpstr>
      <vt:lpstr>Kansanshi Regression Stats</vt:lpstr>
      <vt:lpstr>Kansanshi regression data</vt:lpstr>
      <vt:lpstr>Copper producton Sentinel</vt:lpstr>
      <vt:lpstr>Sentinel copper recovery%</vt:lpstr>
      <vt:lpstr>Sentinel Copper ore grade</vt:lpstr>
      <vt:lpstr>Copper ore processed sentinel</vt:lpstr>
      <vt:lpstr>Copper production Kansanshi</vt:lpstr>
      <vt:lpstr>Oxide copper recovery(%)</vt:lpstr>
      <vt:lpstr>Oxide ore grade processed(%)</vt:lpstr>
      <vt:lpstr>Oxide ore tonnes milled(000's)</vt:lpstr>
      <vt:lpstr>Mixed copper recovery(%)</vt:lpstr>
      <vt:lpstr>Mixed ore grade processed(%)</vt:lpstr>
      <vt:lpstr>Sulphide copper recovery(%)</vt:lpstr>
      <vt:lpstr>Mixed ore tonnes milled(000's)</vt:lpstr>
      <vt:lpstr>Sulphide ore grade processed(%)</vt:lpstr>
      <vt:lpstr>Sulphide ore Kansanshi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2025-11-05T16:48:35Z</dcterms:created>
  <dcterms:modified xsi:type="dcterms:W3CDTF">2025-11-25T14:15:23Z</dcterms:modified>
</cp:coreProperties>
</file>